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untu20_04\Ubuntu_shared_folder\EE4204 Lab\Assignment\"/>
    </mc:Choice>
  </mc:AlternateContent>
  <xr:revisionPtr revIDLastSave="0" documentId="13_ncr:1_{0E1129CC-5631-42BC-B200-5B28AF4FAEB4}" xr6:coauthVersionLast="45" xr6:coauthVersionMax="45" xr10:uidLastSave="{00000000-0000-0000-0000-000000000000}"/>
  <bookViews>
    <workbookView xWindow="-108" yWindow="-108" windowWidth="23256" windowHeight="12576" xr2:uid="{24EBC844-52B1-4B8C-BA8D-22CC62D41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7" i="1"/>
  <c r="I6" i="1"/>
  <c r="I19" i="1"/>
  <c r="H28" i="1"/>
  <c r="H29" i="1"/>
  <c r="H30" i="1"/>
  <c r="H31" i="1"/>
  <c r="H27" i="1"/>
  <c r="H20" i="1"/>
  <c r="H21" i="1"/>
  <c r="H22" i="1"/>
  <c r="H23" i="1"/>
  <c r="H19" i="1"/>
  <c r="H7" i="1"/>
  <c r="H8" i="1"/>
  <c r="H9" i="1"/>
  <c r="H10" i="1"/>
  <c r="H11" i="1"/>
  <c r="H12" i="1"/>
  <c r="H13" i="1"/>
  <c r="H14" i="1"/>
  <c r="H15" i="1"/>
  <c r="H6" i="1"/>
</calcChain>
</file>

<file path=xl/sharedStrings.xml><?xml version="1.0" encoding="utf-8"?>
<sst xmlns="http://schemas.openxmlformats.org/spreadsheetml/2006/main" count="162" uniqueCount="136">
  <si>
    <t>Error Probability</t>
  </si>
  <si>
    <t>File Size: 408,290 bytes  ~ 3266320 bits</t>
  </si>
  <si>
    <t>Packet loss probability is kept at 0 throughout the experiments as this was not requried in the assessment</t>
  </si>
  <si>
    <t>1. Transfer time vs error probability (Packet size fixed at 256 Bytes)</t>
  </si>
  <si>
    <t>Throughput/Mbps</t>
  </si>
  <si>
    <t>Transfer Time/s</t>
  </si>
  <si>
    <t>3.6748576164245605</t>
  </si>
  <si>
    <t>4.018906831741333</t>
  </si>
  <si>
    <t>4.3866002559661865</t>
  </si>
  <si>
    <t>5.077943563461304</t>
  </si>
  <si>
    <t>6.179945230484009</t>
  </si>
  <si>
    <t>6.9958109855651855</t>
  </si>
  <si>
    <t>8.951777458190918</t>
  </si>
  <si>
    <t>11.770042896270752</t>
  </si>
  <si>
    <t>16.8038227558136</t>
  </si>
  <si>
    <t>33.24160146713257</t>
  </si>
  <si>
    <t xml:space="preserve">0.8888289944626356
</t>
  </si>
  <si>
    <t xml:space="preserve">0.8127384228473771
</t>
  </si>
  <si>
    <t xml:space="preserve">0.7446130965677804
</t>
  </si>
  <si>
    <t xml:space="preserve">0.6432367668485
</t>
  </si>
  <si>
    <t xml:space="preserve">0.5285354284190289
</t>
  </si>
  <si>
    <t xml:space="preserve">0.4668965480541949
</t>
  </si>
  <si>
    <t xml:space="preserve">0.36487949072184567
</t>
  </si>
  <si>
    <t xml:space="preserve">0.2775113080543579
</t>
  </si>
  <si>
    <t xml:space="preserve">0.19437957942456607
</t>
  </si>
  <si>
    <t xml:space="preserve">0.09826000721504209
</t>
  </si>
  <si>
    <t>3.6154391765594482</t>
  </si>
  <si>
    <t>3.9191746711730957</t>
  </si>
  <si>
    <t>4.420364141464233</t>
  </si>
  <si>
    <t>5.2435290813446045</t>
  </si>
  <si>
    <t>5.6897032260894775</t>
  </si>
  <si>
    <t>7.010043382644653</t>
  </si>
  <si>
    <t>9.043710470199585</t>
  </si>
  <si>
    <t>11.67703628540039</t>
  </si>
  <si>
    <t>17.60652446746826</t>
  </si>
  <si>
    <t>32.076690912246704</t>
  </si>
  <si>
    <t xml:space="preserve">0.9034365786533077
</t>
  </si>
  <si>
    <t xml:space="preserve">0.8334203688406462
</t>
  </si>
  <si>
    <t xml:space="preserve">0.7389255489974274
</t>
  </si>
  <si>
    <t xml:space="preserve">0.6229239791233148
</t>
  </si>
  <si>
    <t xml:space="preserve">0.5740756363218853
</t>
  </si>
  <si>
    <t xml:space="preserve">0.46594861425347234
</t>
  </si>
  <si>
    <t xml:space="preserve">0.3611703416162012
</t>
  </si>
  <si>
    <t xml:space="preserve">0.2797216622580703
</t>
  </si>
  <si>
    <t xml:space="preserve">0.18551759071105767
</t>
  </si>
  <si>
    <t xml:space="preserve">0.10182845883123615
</t>
  </si>
  <si>
    <t>3.8575308322906494</t>
  </si>
  <si>
    <t>3.8561460971832275</t>
  </si>
  <si>
    <t>4.425674676895142</t>
  </si>
  <si>
    <t>5.137170791625977</t>
  </si>
  <si>
    <t>5.817425489425659</t>
  </si>
  <si>
    <t>7.226170539855957</t>
  </si>
  <si>
    <t>8.79084038734436</t>
  </si>
  <si>
    <t>12.25385046005249</t>
  </si>
  <si>
    <t>17.860919952392578</t>
  </si>
  <si>
    <t>35.15573048591614</t>
  </si>
  <si>
    <t xml:space="preserve">0.8467385335350435
</t>
  </si>
  <si>
    <t xml:space="preserve">0.8470425958150097
</t>
  </si>
  <si>
    <t xml:space="preserve">0.7380388841168747
</t>
  </si>
  <si>
    <t xml:space="preserve">0.635820791733142
</t>
  </si>
  <si>
    <t xml:space="preserve">0.561471737959892
</t>
  </si>
  <si>
    <t xml:space="preserve">0.45201258148899287
</t>
  </si>
  <si>
    <t xml:space="preserve">0.37155947054872285
</t>
  </si>
  <si>
    <t xml:space="preserve">0.2665545830388735
</t>
  </si>
  <si>
    <t xml:space="preserve">0.1828752387170548
</t>
  </si>
  <si>
    <t xml:space="preserve">0.0929100307361991
</t>
  </si>
  <si>
    <t>Packet Size</t>
  </si>
  <si>
    <t>128</t>
  </si>
  <si>
    <t>4.4887542724609375</t>
  </si>
  <si>
    <t xml:space="preserve">0.7276673664315458
</t>
  </si>
  <si>
    <t>4.6671741008758545</t>
  </si>
  <si>
    <t xml:space="preserve">0.6998496155065297
</t>
  </si>
  <si>
    <t>4.770947456359863</t>
  </si>
  <si>
    <t xml:space="preserve">0.684627116495669
</t>
  </si>
  <si>
    <t>512</t>
  </si>
  <si>
    <t>2.860412359237671</t>
  </si>
  <si>
    <t xml:space="preserve">1.1419052883936314
</t>
  </si>
  <si>
    <t>2.9230082035064697</t>
  </si>
  <si>
    <t xml:space="preserve">1.1174515336911097
</t>
  </si>
  <si>
    <t>2.8846275806427</t>
  </si>
  <si>
    <t xml:space="preserve">1.1323194792695763
</t>
  </si>
  <si>
    <t>1024</t>
  </si>
  <si>
    <t>2.6550400257110596</t>
  </si>
  <si>
    <t xml:space="preserve">1.2302338075393913
</t>
  </si>
  <si>
    <t>2.6731953620910645</t>
  </si>
  <si>
    <t xml:space="preserve">1.2218785227298066
</t>
  </si>
  <si>
    <t>2.679067850112915</t>
  </si>
  <si>
    <t xml:space="preserve">1.2192001781001305
</t>
  </si>
  <si>
    <t>2048</t>
  </si>
  <si>
    <t>2.578444719314575</t>
  </si>
  <si>
    <t xml:space="preserve">1.2667791461778097
</t>
  </si>
  <si>
    <t>2.555988073348999</t>
  </si>
  <si>
    <t xml:space="preserve">1.2779089362965157
</t>
  </si>
  <si>
    <t>2.5571186542510986</t>
  </si>
  <si>
    <t xml:space="preserve">1.27734393340328
</t>
  </si>
  <si>
    <t>4096</t>
  </si>
  <si>
    <t>2.5546047687530518</t>
  </si>
  <si>
    <t xml:space="preserve">1.278600917039057
</t>
  </si>
  <si>
    <t>2.540266752243042</t>
  </si>
  <si>
    <t xml:space="preserve">1.2858177185981972
</t>
  </si>
  <si>
    <t>2.5321764945983887</t>
  </si>
  <si>
    <t xml:space="preserve">1.2899258827209232
</t>
  </si>
  <si>
    <t>1. Transfer time vs Data Unit Size (Error probability = 0)</t>
  </si>
  <si>
    <t>1. Transfer time vs Data Unit Size (Error probability = 0.5)</t>
  </si>
  <si>
    <t>7.874929666519165</t>
  </si>
  <si>
    <t xml:space="preserve">0.4147744980995826
</t>
  </si>
  <si>
    <t>8.98759412765503</t>
  </si>
  <si>
    <t xml:space="preserve">0.3634254010146564
</t>
  </si>
  <si>
    <t>9.320280313491821</t>
  </si>
  <si>
    <t xml:space="preserve">0.35045297889503935
</t>
  </si>
  <si>
    <t>6.252340316772461</t>
  </si>
  <si>
    <t xml:space="preserve">0.5224155811285264
</t>
  </si>
  <si>
    <t>6.035925626754761</t>
  </si>
  <si>
    <t xml:space="preserve">0.5411464954971869
</t>
  </si>
  <si>
    <t>6.098536252975464</t>
  </si>
  <si>
    <t xml:space="preserve">0.5355908146657927
</t>
  </si>
  <si>
    <t>5.609591722488403</t>
  </si>
  <si>
    <t xml:space="preserve">0.5822741050664321
</t>
  </si>
  <si>
    <t>5.699478626251221</t>
  </si>
  <si>
    <t xml:space="preserve">0.5730910165985467
</t>
  </si>
  <si>
    <t>5.1053361892700195</t>
  </si>
  <si>
    <t xml:space="preserve">0.6397854869704538
</t>
  </si>
  <si>
    <t>6.168713808059692</t>
  </si>
  <si>
    <t xml:space="preserve">0.529497736745772
</t>
  </si>
  <si>
    <t>5.5369932651519775</t>
  </si>
  <si>
    <t xml:space="preserve">0.5899086098870931
</t>
  </si>
  <si>
    <t>5.208243131637573</t>
  </si>
  <si>
    <t xml:space="preserve">0.6271443013400577
</t>
  </si>
  <si>
    <t>5.426621437072754</t>
  </si>
  <si>
    <t xml:space="preserve">0.6019067366088335
</t>
  </si>
  <si>
    <t>5.90428352355957</t>
  </si>
  <si>
    <t xml:space="preserve">0.5532119158855711
</t>
  </si>
  <si>
    <t>5.645373106002808</t>
  </si>
  <si>
    <t xml:space="preserve">0.5785835477422873
</t>
  </si>
  <si>
    <t>Avg Transfer Time</t>
  </si>
  <si>
    <t>Avg Throughput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</si>
</sst>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9143-BD27-4227-9C1A-B09ADB329E1E}">
  <dimension ref="A1:I33"/>
  <sheetViews>
    <sheetView tabSelected="1" topLeftCell="A19" zoomScale="117" workbookViewId="0">
      <selection activeCell="A34" sqref="A34"/>
    </sheetView>
  </sheetViews>
  <sheetFormatPr defaultRowHeight="14.4" x14ac:dyDescent="0.3"/>
  <cols>
    <col min="1" max="1" width="17.6640625" customWidth="1"/>
    <col min="2" max="7" width="20.77734375" customWidth="1"/>
    <col min="8" max="11" width="16.77734375" customWidth="1"/>
  </cols>
  <sheetData>
    <row r="1" spans="1:9" x14ac:dyDescent="0.3">
      <c r="A1" s="1" t="s">
        <v>1</v>
      </c>
    </row>
    <row r="2" spans="1:9" x14ac:dyDescent="0.3">
      <c r="A2" s="1" t="s">
        <v>2</v>
      </c>
    </row>
    <row r="3" spans="1:9" x14ac:dyDescent="0.3">
      <c r="A3" s="1"/>
    </row>
    <row r="4" spans="1:9" ht="18" x14ac:dyDescent="0.35">
      <c r="A4" s="2" t="s">
        <v>3</v>
      </c>
    </row>
    <row r="5" spans="1:9" x14ac:dyDescent="0.3">
      <c r="A5" s="1" t="s">
        <v>0</v>
      </c>
      <c r="B5" s="1" t="s">
        <v>5</v>
      </c>
      <c r="C5" s="1" t="s">
        <v>4</v>
      </c>
      <c r="D5" s="1" t="s">
        <v>5</v>
      </c>
      <c r="E5" s="1" t="s">
        <v>4</v>
      </c>
      <c r="F5" s="1" t="s">
        <v>5</v>
      </c>
      <c r="G5" s="1" t="s">
        <v>4</v>
      </c>
      <c r="H5" s="1" t="s">
        <v>134</v>
      </c>
      <c r="I5" s="1" t="s">
        <v>135</v>
      </c>
    </row>
    <row r="6" spans="1:9" x14ac:dyDescent="0.3">
      <c r="A6">
        <v>0</v>
      </c>
      <c r="B6" t="s">
        <v>6</v>
      </c>
      <c r="C6" s="4" t="s">
        <v>16</v>
      </c>
      <c r="D6" t="s">
        <v>26</v>
      </c>
      <c r="E6" s="4" t="s">
        <v>36</v>
      </c>
      <c r="F6" t="s">
        <v>46</v>
      </c>
      <c r="G6" s="4" t="s">
        <v>56</v>
      </c>
      <c r="H6">
        <f>(B6+D6+F6)/3</f>
        <v>3.7159425417582135</v>
      </c>
      <c r="I6" s="3" t="e">
        <f>(C6+E6+G6)/3</f>
        <v>#VALUE!</v>
      </c>
    </row>
    <row r="7" spans="1:9" x14ac:dyDescent="0.3">
      <c r="A7">
        <v>0.1</v>
      </c>
      <c r="B7" t="s">
        <v>7</v>
      </c>
      <c r="C7" s="4" t="s">
        <v>17</v>
      </c>
      <c r="D7" t="s">
        <v>27</v>
      </c>
      <c r="E7" s="4" t="s">
        <v>37</v>
      </c>
      <c r="F7" t="s">
        <v>47</v>
      </c>
      <c r="G7" s="4" t="s">
        <v>57</v>
      </c>
      <c r="H7">
        <f t="shared" ref="H7:H15" si="0">(B7+D7+F7)/3</f>
        <v>3.9314092000325469</v>
      </c>
      <c r="I7" s="3" t="e">
        <f>(C7+E7+G7)/3</f>
        <v>#VALUE!</v>
      </c>
    </row>
    <row r="8" spans="1:9" x14ac:dyDescent="0.3">
      <c r="A8">
        <v>0.2</v>
      </c>
      <c r="B8" t="s">
        <v>8</v>
      </c>
      <c r="C8" s="4" t="s">
        <v>18</v>
      </c>
      <c r="D8" t="s">
        <v>28</v>
      </c>
      <c r="E8" s="4" t="s">
        <v>38</v>
      </c>
      <c r="F8" t="s">
        <v>48</v>
      </c>
      <c r="G8" s="4" t="s">
        <v>58</v>
      </c>
      <c r="H8">
        <f t="shared" si="0"/>
        <v>4.41087969144185</v>
      </c>
      <c r="I8" s="3" t="e">
        <f t="shared" ref="I8:I15" si="1">(C8+E8+G8)/3</f>
        <v>#VALUE!</v>
      </c>
    </row>
    <row r="9" spans="1:9" x14ac:dyDescent="0.3">
      <c r="A9">
        <v>0.3</v>
      </c>
      <c r="B9" t="s">
        <v>9</v>
      </c>
      <c r="C9" s="4" t="s">
        <v>19</v>
      </c>
      <c r="D9" t="s">
        <v>29</v>
      </c>
      <c r="E9" s="4" t="s">
        <v>39</v>
      </c>
      <c r="F9" t="s">
        <v>49</v>
      </c>
      <c r="G9" s="4" t="s">
        <v>59</v>
      </c>
      <c r="H9">
        <f t="shared" si="0"/>
        <v>5.1528811454772905</v>
      </c>
      <c r="I9" s="3" t="e">
        <f t="shared" si="1"/>
        <v>#VALUE!</v>
      </c>
    </row>
    <row r="10" spans="1:9" x14ac:dyDescent="0.3">
      <c r="A10">
        <v>0.4</v>
      </c>
      <c r="B10" t="s">
        <v>10</v>
      </c>
      <c r="C10" s="4" t="s">
        <v>20</v>
      </c>
      <c r="D10" t="s">
        <v>30</v>
      </c>
      <c r="E10" s="4" t="s">
        <v>40</v>
      </c>
      <c r="F10" t="s">
        <v>50</v>
      </c>
      <c r="G10" s="4" t="s">
        <v>60</v>
      </c>
      <c r="H10">
        <f t="shared" si="0"/>
        <v>5.8956913153330399</v>
      </c>
      <c r="I10" s="3" t="e">
        <f t="shared" si="1"/>
        <v>#VALUE!</v>
      </c>
    </row>
    <row r="11" spans="1:9" x14ac:dyDescent="0.3">
      <c r="A11">
        <v>0.5</v>
      </c>
      <c r="B11" t="s">
        <v>11</v>
      </c>
      <c r="C11" s="4" t="s">
        <v>21</v>
      </c>
      <c r="D11" t="s">
        <v>31</v>
      </c>
      <c r="E11" s="4" t="s">
        <v>41</v>
      </c>
      <c r="F11" t="s">
        <v>51</v>
      </c>
      <c r="G11" s="4" t="s">
        <v>61</v>
      </c>
      <c r="H11">
        <f t="shared" si="0"/>
        <v>7.0773416360219272</v>
      </c>
      <c r="I11" s="3" t="e">
        <f t="shared" si="1"/>
        <v>#VALUE!</v>
      </c>
    </row>
    <row r="12" spans="1:9" x14ac:dyDescent="0.3">
      <c r="A12">
        <v>0.6</v>
      </c>
      <c r="B12" t="s">
        <v>12</v>
      </c>
      <c r="C12" s="4" t="s">
        <v>22</v>
      </c>
      <c r="D12" t="s">
        <v>32</v>
      </c>
      <c r="E12" s="4" t="s">
        <v>42</v>
      </c>
      <c r="F12" t="s">
        <v>52</v>
      </c>
      <c r="G12" s="4" t="s">
        <v>62</v>
      </c>
      <c r="H12">
        <f t="shared" si="0"/>
        <v>8.9287761052449497</v>
      </c>
      <c r="I12" s="3" t="e">
        <f t="shared" si="1"/>
        <v>#VALUE!</v>
      </c>
    </row>
    <row r="13" spans="1:9" x14ac:dyDescent="0.3">
      <c r="A13">
        <v>0.7</v>
      </c>
      <c r="B13" t="s">
        <v>13</v>
      </c>
      <c r="C13" s="4" t="s">
        <v>23</v>
      </c>
      <c r="D13" t="s">
        <v>33</v>
      </c>
      <c r="E13" s="4" t="s">
        <v>43</v>
      </c>
      <c r="F13" t="s">
        <v>53</v>
      </c>
      <c r="G13" s="4" t="s">
        <v>63</v>
      </c>
      <c r="H13">
        <f t="shared" si="0"/>
        <v>11.900309880574467</v>
      </c>
      <c r="I13" s="3" t="e">
        <f t="shared" si="1"/>
        <v>#VALUE!</v>
      </c>
    </row>
    <row r="14" spans="1:9" x14ac:dyDescent="0.3">
      <c r="A14">
        <v>0.8</v>
      </c>
      <c r="B14" t="s">
        <v>14</v>
      </c>
      <c r="C14" s="4" t="s">
        <v>24</v>
      </c>
      <c r="D14" t="s">
        <v>34</v>
      </c>
      <c r="E14" s="4" t="s">
        <v>44</v>
      </c>
      <c r="F14" t="s">
        <v>54</v>
      </c>
      <c r="G14" s="4" t="s">
        <v>64</v>
      </c>
      <c r="H14">
        <f t="shared" si="0"/>
        <v>17.423755725224769</v>
      </c>
      <c r="I14" s="3" t="e">
        <f t="shared" si="1"/>
        <v>#VALUE!</v>
      </c>
    </row>
    <row r="15" spans="1:9" x14ac:dyDescent="0.3">
      <c r="A15">
        <v>0.9</v>
      </c>
      <c r="B15" t="s">
        <v>15</v>
      </c>
      <c r="C15" s="4" t="s">
        <v>25</v>
      </c>
      <c r="D15" t="s">
        <v>35</v>
      </c>
      <c r="E15" s="4" t="s">
        <v>45</v>
      </c>
      <c r="F15" t="s">
        <v>55</v>
      </c>
      <c r="G15" s="4" t="s">
        <v>65</v>
      </c>
      <c r="H15">
        <f t="shared" si="0"/>
        <v>33.49134095509843</v>
      </c>
      <c r="I15" s="3" t="e">
        <f t="shared" si="1"/>
        <v>#VALUE!</v>
      </c>
    </row>
    <row r="17" spans="1:9" ht="18" x14ac:dyDescent="0.35">
      <c r="A17" s="2" t="s">
        <v>102</v>
      </c>
    </row>
    <row r="18" spans="1:9" x14ac:dyDescent="0.3">
      <c r="A18" s="1" t="s">
        <v>66</v>
      </c>
      <c r="B18" s="1" t="s">
        <v>5</v>
      </c>
      <c r="C18" s="1" t="s">
        <v>4</v>
      </c>
      <c r="D18" s="1" t="s">
        <v>5</v>
      </c>
      <c r="E18" s="1" t="s">
        <v>4</v>
      </c>
      <c r="F18" s="1" t="s">
        <v>5</v>
      </c>
      <c r="G18" s="1" t="s">
        <v>4</v>
      </c>
      <c r="H18" s="1" t="s">
        <v>134</v>
      </c>
      <c r="I18" s="1" t="s">
        <v>135</v>
      </c>
    </row>
    <row r="19" spans="1:9" x14ac:dyDescent="0.3">
      <c r="A19" t="s">
        <v>67</v>
      </c>
      <c r="B19" t="s">
        <v>68</v>
      </c>
      <c r="C19" t="s">
        <v>69</v>
      </c>
      <c r="D19" t="s">
        <v>70</v>
      </c>
      <c r="E19" t="s">
        <v>71</v>
      </c>
      <c r="F19" t="s">
        <v>72</v>
      </c>
      <c r="G19" t="s">
        <v>73</v>
      </c>
      <c r="H19">
        <f>(B19+D19+F19)/3</f>
        <v>4.6422919432322134</v>
      </c>
      <c r="I19" t="e">
        <f>(C19+E19+G19)/3</f>
        <v>#VALUE!</v>
      </c>
    </row>
    <row r="20" spans="1:9" x14ac:dyDescent="0.3">
      <c r="A20" t="s">
        <v>74</v>
      </c>
      <c r="B20" t="s">
        <v>75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  <c r="H20">
        <f t="shared" ref="H20:H23" si="2">(B20+D20+F20)/3</f>
        <v>2.8893493811289432</v>
      </c>
    </row>
    <row r="21" spans="1:9" x14ac:dyDescent="0.3">
      <c r="A21" t="s">
        <v>81</v>
      </c>
      <c r="B21" t="s">
        <v>82</v>
      </c>
      <c r="C21" t="s">
        <v>83</v>
      </c>
      <c r="D21" t="s">
        <v>84</v>
      </c>
      <c r="E21" t="s">
        <v>85</v>
      </c>
      <c r="F21" t="s">
        <v>86</v>
      </c>
      <c r="G21" t="s">
        <v>87</v>
      </c>
      <c r="H21">
        <f t="shared" si="2"/>
        <v>2.6691010793050065</v>
      </c>
    </row>
    <row r="22" spans="1:9" x14ac:dyDescent="0.3">
      <c r="A22" t="s">
        <v>88</v>
      </c>
      <c r="B22" t="s">
        <v>89</v>
      </c>
      <c r="C22" t="s">
        <v>90</v>
      </c>
      <c r="D22" t="s">
        <v>91</v>
      </c>
      <c r="E22" t="s">
        <v>92</v>
      </c>
      <c r="F22" t="s">
        <v>93</v>
      </c>
      <c r="G22" t="s">
        <v>94</v>
      </c>
      <c r="H22">
        <f t="shared" si="2"/>
        <v>2.5638504823048831</v>
      </c>
    </row>
    <row r="23" spans="1:9" x14ac:dyDescent="0.3">
      <c r="A23" t="s">
        <v>95</v>
      </c>
      <c r="B23" t="s">
        <v>96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  <c r="H23">
        <f t="shared" si="2"/>
        <v>2.5423493385314901</v>
      </c>
    </row>
    <row r="25" spans="1:9" ht="18" x14ac:dyDescent="0.35">
      <c r="A25" s="2" t="s">
        <v>103</v>
      </c>
    </row>
    <row r="26" spans="1:9" x14ac:dyDescent="0.3">
      <c r="A26" s="1" t="s">
        <v>66</v>
      </c>
      <c r="B26" s="1" t="s">
        <v>5</v>
      </c>
      <c r="C26" s="1" t="s">
        <v>4</v>
      </c>
      <c r="D26" s="1" t="s">
        <v>5</v>
      </c>
      <c r="E26" s="1" t="s">
        <v>4</v>
      </c>
      <c r="F26" s="1" t="s">
        <v>5</v>
      </c>
      <c r="G26" s="1" t="s">
        <v>4</v>
      </c>
      <c r="H26" s="1" t="s">
        <v>134</v>
      </c>
      <c r="I26" s="1" t="s">
        <v>135</v>
      </c>
    </row>
    <row r="27" spans="1:9" x14ac:dyDescent="0.3">
      <c r="A27" t="s">
        <v>67</v>
      </c>
      <c r="B27" t="s">
        <v>104</v>
      </c>
      <c r="C27" t="s">
        <v>105</v>
      </c>
      <c r="D27" t="s">
        <v>106</v>
      </c>
      <c r="E27" t="s">
        <v>107</v>
      </c>
      <c r="F27" t="s">
        <v>108</v>
      </c>
      <c r="G27" t="s">
        <v>109</v>
      </c>
      <c r="H27">
        <f>(B27+D27+F27)/3</f>
        <v>8.7276013692220022</v>
      </c>
    </row>
    <row r="28" spans="1:9" x14ac:dyDescent="0.3">
      <c r="A28" t="s">
        <v>74</v>
      </c>
      <c r="B28" t="s">
        <v>110</v>
      </c>
      <c r="C28" t="s">
        <v>111</v>
      </c>
      <c r="D28" t="s">
        <v>112</v>
      </c>
      <c r="E28" t="s">
        <v>113</v>
      </c>
      <c r="F28" t="s">
        <v>114</v>
      </c>
      <c r="G28" t="s">
        <v>115</v>
      </c>
      <c r="H28">
        <f t="shared" ref="H28:H31" si="3">(B28+D28+F28)/3</f>
        <v>6.1289340655008928</v>
      </c>
    </row>
    <row r="29" spans="1:9" x14ac:dyDescent="0.3">
      <c r="A29" t="s">
        <v>81</v>
      </c>
      <c r="B29" t="s">
        <v>116</v>
      </c>
      <c r="C29" t="s">
        <v>117</v>
      </c>
      <c r="D29" t="s">
        <v>118</v>
      </c>
      <c r="E29" t="s">
        <v>119</v>
      </c>
      <c r="F29" t="s">
        <v>120</v>
      </c>
      <c r="G29" t="s">
        <v>121</v>
      </c>
      <c r="H29">
        <f t="shared" si="3"/>
        <v>5.4714688460032095</v>
      </c>
    </row>
    <row r="30" spans="1:9" x14ac:dyDescent="0.3">
      <c r="A30" t="s">
        <v>88</v>
      </c>
      <c r="B30" t="s">
        <v>122</v>
      </c>
      <c r="C30" t="s">
        <v>123</v>
      </c>
      <c r="D30" t="s">
        <v>124</v>
      </c>
      <c r="E30" t="s">
        <v>125</v>
      </c>
      <c r="F30" t="s">
        <v>126</v>
      </c>
      <c r="G30" t="s">
        <v>127</v>
      </c>
      <c r="H30">
        <f t="shared" si="3"/>
        <v>5.6379834016164097</v>
      </c>
    </row>
    <row r="31" spans="1:9" x14ac:dyDescent="0.3">
      <c r="A31" t="s">
        <v>95</v>
      </c>
      <c r="B31" t="s">
        <v>128</v>
      </c>
      <c r="C31" t="s">
        <v>129</v>
      </c>
      <c r="D31" t="s">
        <v>130</v>
      </c>
      <c r="E31" t="s">
        <v>131</v>
      </c>
      <c r="F31" t="s">
        <v>132</v>
      </c>
      <c r="G31" t="s">
        <v>133</v>
      </c>
      <c r="H31">
        <f t="shared" si="3"/>
        <v>5.6587593555450404</v>
      </c>
    </row>
    <row r="33" spans="1:1" ht="18" x14ac:dyDescent="0.35">
      <c r="A3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suther david</dc:creator>
  <cp:lastModifiedBy>samuel suther david</cp:lastModifiedBy>
  <dcterms:created xsi:type="dcterms:W3CDTF">2020-10-19T08:50:04Z</dcterms:created>
  <dcterms:modified xsi:type="dcterms:W3CDTF">2020-10-25T16:41:39Z</dcterms:modified>
</cp:coreProperties>
</file>