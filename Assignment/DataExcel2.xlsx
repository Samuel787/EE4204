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buntu20_04\Ubuntu_shared_folder\EE4204 Lab\Assignment\"/>
    </mc:Choice>
  </mc:AlternateContent>
  <xr:revisionPtr revIDLastSave="0" documentId="13_ncr:1_{D5C87397-CEB4-4E2C-8377-0FE3118BC646}" xr6:coauthVersionLast="45" xr6:coauthVersionMax="45" xr10:uidLastSave="{00000000-0000-0000-0000-000000000000}"/>
  <bookViews>
    <workbookView xWindow="-108" yWindow="-108" windowWidth="23256" windowHeight="12576" xr2:uid="{24EBC844-52B1-4B8C-BA8D-22CC62D41138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1" i="3" l="1"/>
  <c r="F31" i="3"/>
  <c r="E31" i="3"/>
  <c r="D31" i="3"/>
  <c r="C31" i="3"/>
  <c r="B31" i="3"/>
  <c r="G30" i="3"/>
  <c r="F30" i="3"/>
  <c r="E30" i="3"/>
  <c r="D30" i="3"/>
  <c r="C30" i="3"/>
  <c r="B30" i="3"/>
  <c r="G29" i="3"/>
  <c r="F29" i="3"/>
  <c r="E29" i="3"/>
  <c r="D29" i="3"/>
  <c r="C29" i="3"/>
  <c r="B29" i="3"/>
  <c r="G28" i="3"/>
  <c r="F28" i="3"/>
  <c r="E28" i="3"/>
  <c r="D28" i="3"/>
  <c r="C28" i="3"/>
  <c r="B28" i="3"/>
  <c r="G27" i="3"/>
  <c r="F27" i="3"/>
  <c r="E27" i="3"/>
  <c r="D27" i="3"/>
  <c r="C27" i="3"/>
  <c r="I27" i="3" s="1"/>
  <c r="B27" i="3"/>
  <c r="H26" i="3"/>
  <c r="G26" i="3"/>
  <c r="F26" i="3"/>
  <c r="E26" i="3"/>
  <c r="D26" i="3"/>
  <c r="C26" i="3"/>
  <c r="B26" i="3"/>
  <c r="H25" i="3"/>
  <c r="G25" i="3"/>
  <c r="F25" i="3"/>
  <c r="E25" i="3"/>
  <c r="D25" i="3"/>
  <c r="C25" i="3"/>
  <c r="B25" i="3"/>
  <c r="H24" i="3"/>
  <c r="G24" i="3"/>
  <c r="F24" i="3"/>
  <c r="E24" i="3"/>
  <c r="D24" i="3"/>
  <c r="C24" i="3"/>
  <c r="B24" i="3"/>
  <c r="G23" i="3"/>
  <c r="F23" i="3"/>
  <c r="E23" i="3"/>
  <c r="D23" i="3"/>
  <c r="C23" i="3"/>
  <c r="B23" i="3"/>
  <c r="G22" i="3"/>
  <c r="F22" i="3"/>
  <c r="E22" i="3"/>
  <c r="D22" i="3"/>
  <c r="C22" i="3"/>
  <c r="B22" i="3"/>
  <c r="G21" i="3"/>
  <c r="F21" i="3"/>
  <c r="E21" i="3"/>
  <c r="D21" i="3"/>
  <c r="C21" i="3"/>
  <c r="I21" i="3" s="1"/>
  <c r="B21" i="3"/>
  <c r="G20" i="3"/>
  <c r="F20" i="3"/>
  <c r="E20" i="3"/>
  <c r="D20" i="3"/>
  <c r="C20" i="3"/>
  <c r="B20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G15" i="3"/>
  <c r="F15" i="3"/>
  <c r="E15" i="3"/>
  <c r="D15" i="3"/>
  <c r="C15" i="3"/>
  <c r="B15" i="3"/>
  <c r="G14" i="3"/>
  <c r="F14" i="3"/>
  <c r="E14" i="3"/>
  <c r="D14" i="3"/>
  <c r="C14" i="3"/>
  <c r="B14" i="3"/>
  <c r="G13" i="3"/>
  <c r="F13" i="3"/>
  <c r="E13" i="3"/>
  <c r="I13" i="3" s="1"/>
  <c r="D13" i="3"/>
  <c r="C13" i="3"/>
  <c r="B13" i="3"/>
  <c r="G12" i="3"/>
  <c r="F12" i="3"/>
  <c r="E12" i="3"/>
  <c r="D12" i="3"/>
  <c r="C12" i="3"/>
  <c r="B12" i="3"/>
  <c r="G11" i="3"/>
  <c r="F11" i="3"/>
  <c r="E11" i="3"/>
  <c r="D11" i="3"/>
  <c r="C11" i="3"/>
  <c r="B11" i="3"/>
  <c r="G10" i="3"/>
  <c r="F10" i="3"/>
  <c r="E10" i="3"/>
  <c r="D10" i="3"/>
  <c r="C10" i="3"/>
  <c r="B10" i="3"/>
  <c r="G9" i="3"/>
  <c r="F9" i="3"/>
  <c r="E9" i="3"/>
  <c r="D9" i="3"/>
  <c r="C9" i="3"/>
  <c r="B9" i="3"/>
  <c r="G8" i="3"/>
  <c r="F8" i="3"/>
  <c r="E8" i="3"/>
  <c r="D8" i="3"/>
  <c r="C8" i="3"/>
  <c r="B8" i="3"/>
  <c r="G7" i="3"/>
  <c r="F7" i="3"/>
  <c r="E7" i="3"/>
  <c r="D7" i="3"/>
  <c r="C7" i="3"/>
  <c r="B7" i="3"/>
  <c r="G6" i="3"/>
  <c r="F6" i="3"/>
  <c r="E6" i="3"/>
  <c r="D6" i="3"/>
  <c r="C6" i="3"/>
  <c r="H5" i="3"/>
  <c r="G5" i="3"/>
  <c r="F5" i="3"/>
  <c r="E5" i="3"/>
  <c r="D5" i="3"/>
  <c r="C5" i="3"/>
  <c r="B5" i="3"/>
  <c r="H4" i="3"/>
  <c r="G4" i="3"/>
  <c r="F4" i="3"/>
  <c r="E4" i="3"/>
  <c r="D4" i="3"/>
  <c r="C4" i="3"/>
  <c r="B4" i="3"/>
  <c r="H3" i="3"/>
  <c r="G3" i="3"/>
  <c r="F3" i="3"/>
  <c r="E3" i="3"/>
  <c r="D3" i="3"/>
  <c r="C3" i="3"/>
  <c r="B3" i="3"/>
  <c r="H2" i="3"/>
  <c r="G2" i="3"/>
  <c r="F2" i="3"/>
  <c r="E2" i="3"/>
  <c r="D2" i="3"/>
  <c r="C2" i="3"/>
  <c r="B2" i="3"/>
  <c r="H1" i="3"/>
  <c r="G1" i="3"/>
  <c r="F1" i="3"/>
  <c r="E1" i="3"/>
  <c r="D1" i="3"/>
  <c r="C1" i="3"/>
  <c r="B1" i="3"/>
  <c r="B6" i="3"/>
  <c r="I15" i="3" l="1"/>
  <c r="I11" i="3"/>
  <c r="I14" i="3"/>
  <c r="I10" i="3"/>
  <c r="I7" i="3"/>
  <c r="I29" i="3"/>
  <c r="I31" i="3"/>
  <c r="I23" i="3"/>
  <c r="I9" i="3"/>
  <c r="I8" i="3"/>
  <c r="I22" i="3"/>
  <c r="I30" i="3"/>
  <c r="I19" i="3"/>
  <c r="I12" i="3"/>
  <c r="I20" i="3"/>
  <c r="I28" i="3"/>
  <c r="H28" i="1" l="1"/>
  <c r="H28" i="3" s="1"/>
  <c r="H29" i="1"/>
  <c r="H29" i="3" s="1"/>
  <c r="H30" i="1"/>
  <c r="H30" i="3" s="1"/>
  <c r="H31" i="1"/>
  <c r="H31" i="3" s="1"/>
  <c r="H27" i="1"/>
  <c r="H27" i="3" s="1"/>
  <c r="H20" i="1"/>
  <c r="H20" i="3" s="1"/>
  <c r="H21" i="1"/>
  <c r="H21" i="3" s="1"/>
  <c r="H22" i="1"/>
  <c r="H22" i="3" s="1"/>
  <c r="H23" i="1"/>
  <c r="H23" i="3" s="1"/>
  <c r="H19" i="1"/>
  <c r="H19" i="3" s="1"/>
  <c r="H7" i="1"/>
  <c r="H7" i="3" s="1"/>
  <c r="H8" i="1"/>
  <c r="H8" i="3" s="1"/>
  <c r="H9" i="1"/>
  <c r="H9" i="3" s="1"/>
  <c r="H10" i="1"/>
  <c r="H10" i="3" s="1"/>
  <c r="H11" i="1"/>
  <c r="H11" i="3" s="1"/>
  <c r="H12" i="1"/>
  <c r="H12" i="3" s="1"/>
  <c r="H13" i="1"/>
  <c r="H13" i="3" s="1"/>
  <c r="H14" i="1"/>
  <c r="H14" i="3" s="1"/>
  <c r="H15" i="1"/>
  <c r="H15" i="3" s="1"/>
  <c r="H6" i="1"/>
  <c r="H6" i="3" s="1"/>
</calcChain>
</file>

<file path=xl/sharedStrings.xml><?xml version="1.0" encoding="utf-8"?>
<sst xmlns="http://schemas.openxmlformats.org/spreadsheetml/2006/main" count="180" uniqueCount="133">
  <si>
    <t>Error Probability</t>
  </si>
  <si>
    <t>File Size: 408,290 bytes  ~ 3266320 bits</t>
  </si>
  <si>
    <t>Packet loss probability is kept at 0 throughout the experiments as this was not requried in the assessment</t>
  </si>
  <si>
    <t>1. Transfer time vs error probability (Packet size fixed at 256 Bytes)</t>
  </si>
  <si>
    <t>Throughput/Mbps</t>
  </si>
  <si>
    <t>Transfer Time/s</t>
  </si>
  <si>
    <t>3.6748576164245605</t>
  </si>
  <si>
    <t>4.018906831741333</t>
  </si>
  <si>
    <t>4.3866002559661865</t>
  </si>
  <si>
    <t>5.077943563461304</t>
  </si>
  <si>
    <t>6.179945230484009</t>
  </si>
  <si>
    <t>6.9958109855651855</t>
  </si>
  <si>
    <t>8.951777458190918</t>
  </si>
  <si>
    <t>11.770042896270752</t>
  </si>
  <si>
    <t>16.8038227558136</t>
  </si>
  <si>
    <t>33.24160146713257</t>
  </si>
  <si>
    <t xml:space="preserve">0.6432367668485
</t>
  </si>
  <si>
    <t xml:space="preserve">0.5285354284190289
</t>
  </si>
  <si>
    <t xml:space="preserve">0.4668965480541949
</t>
  </si>
  <si>
    <t xml:space="preserve">0.36487949072184567
</t>
  </si>
  <si>
    <t xml:space="preserve">0.2775113080543579
</t>
  </si>
  <si>
    <t xml:space="preserve">0.19437957942456607
</t>
  </si>
  <si>
    <t xml:space="preserve">0.09826000721504209
</t>
  </si>
  <si>
    <t>3.6154391765594482</t>
  </si>
  <si>
    <t>3.9191746711730957</t>
  </si>
  <si>
    <t>4.420364141464233</t>
  </si>
  <si>
    <t>5.2435290813446045</t>
  </si>
  <si>
    <t>5.6897032260894775</t>
  </si>
  <si>
    <t>7.010043382644653</t>
  </si>
  <si>
    <t>9.043710470199585</t>
  </si>
  <si>
    <t>11.67703628540039</t>
  </si>
  <si>
    <t>17.60652446746826</t>
  </si>
  <si>
    <t>32.076690912246704</t>
  </si>
  <si>
    <t xml:space="preserve">0.9034365786533077
</t>
  </si>
  <si>
    <t xml:space="preserve">0.8334203688406462
</t>
  </si>
  <si>
    <t xml:space="preserve">0.7389255489974274
</t>
  </si>
  <si>
    <t xml:space="preserve">0.6229239791233148
</t>
  </si>
  <si>
    <t xml:space="preserve">0.5740756363218853
</t>
  </si>
  <si>
    <t xml:space="preserve">0.46594861425347234
</t>
  </si>
  <si>
    <t xml:space="preserve">0.3611703416162012
</t>
  </si>
  <si>
    <t xml:space="preserve">0.2797216622580703
</t>
  </si>
  <si>
    <t xml:space="preserve">0.18551759071105767
</t>
  </si>
  <si>
    <t xml:space="preserve">0.10182845883123615
</t>
  </si>
  <si>
    <t>3.8575308322906494</t>
  </si>
  <si>
    <t>3.8561460971832275</t>
  </si>
  <si>
    <t>4.425674676895142</t>
  </si>
  <si>
    <t>5.137170791625977</t>
  </si>
  <si>
    <t>5.817425489425659</t>
  </si>
  <si>
    <t>7.226170539855957</t>
  </si>
  <si>
    <t>8.79084038734436</t>
  </si>
  <si>
    <t>12.25385046005249</t>
  </si>
  <si>
    <t>17.860919952392578</t>
  </si>
  <si>
    <t>35.15573048591614</t>
  </si>
  <si>
    <t xml:space="preserve">0.8467385335350435
</t>
  </si>
  <si>
    <t xml:space="preserve">0.8470425958150097
</t>
  </si>
  <si>
    <t xml:space="preserve">0.7380388841168747
</t>
  </si>
  <si>
    <t xml:space="preserve">0.635820791733142
</t>
  </si>
  <si>
    <t xml:space="preserve">0.561471737959892
</t>
  </si>
  <si>
    <t xml:space="preserve">0.45201258148899287
</t>
  </si>
  <si>
    <t xml:space="preserve">0.37155947054872285
</t>
  </si>
  <si>
    <t xml:space="preserve">0.2665545830388735
</t>
  </si>
  <si>
    <t xml:space="preserve">0.1828752387170548
</t>
  </si>
  <si>
    <t xml:space="preserve">0.0929100307361991
</t>
  </si>
  <si>
    <t>Packet Size</t>
  </si>
  <si>
    <t>128</t>
  </si>
  <si>
    <t>4.4887542724609375</t>
  </si>
  <si>
    <t xml:space="preserve">0.7276673664315458
</t>
  </si>
  <si>
    <t>4.6671741008758545</t>
  </si>
  <si>
    <t xml:space="preserve">0.6998496155065297
</t>
  </si>
  <si>
    <t>4.770947456359863</t>
  </si>
  <si>
    <t xml:space="preserve">0.684627116495669
</t>
  </si>
  <si>
    <t>512</t>
  </si>
  <si>
    <t>2.860412359237671</t>
  </si>
  <si>
    <t xml:space="preserve">1.1419052883936314
</t>
  </si>
  <si>
    <t>2.9230082035064697</t>
  </si>
  <si>
    <t xml:space="preserve">1.1174515336911097
</t>
  </si>
  <si>
    <t>2.8846275806427</t>
  </si>
  <si>
    <t xml:space="preserve">1.1323194792695763
</t>
  </si>
  <si>
    <t>1024</t>
  </si>
  <si>
    <t>2.6550400257110596</t>
  </si>
  <si>
    <t xml:space="preserve">1.2302338075393913
</t>
  </si>
  <si>
    <t>2.6731953620910645</t>
  </si>
  <si>
    <t xml:space="preserve">1.2218785227298066
</t>
  </si>
  <si>
    <t>2.679067850112915</t>
  </si>
  <si>
    <t xml:space="preserve">1.2192001781001305
</t>
  </si>
  <si>
    <t>2048</t>
  </si>
  <si>
    <t>2.578444719314575</t>
  </si>
  <si>
    <t xml:space="preserve">1.2667791461778097
</t>
  </si>
  <si>
    <t>2.555988073348999</t>
  </si>
  <si>
    <t xml:space="preserve">1.2779089362965157
</t>
  </si>
  <si>
    <t>2.5571186542510986</t>
  </si>
  <si>
    <t xml:space="preserve">1.27734393340328
</t>
  </si>
  <si>
    <t>4096</t>
  </si>
  <si>
    <t>2.5546047687530518</t>
  </si>
  <si>
    <t xml:space="preserve">1.278600917039057
</t>
  </si>
  <si>
    <t>2.540266752243042</t>
  </si>
  <si>
    <t xml:space="preserve">1.2858177185981972
</t>
  </si>
  <si>
    <t>2.5321764945983887</t>
  </si>
  <si>
    <t xml:space="preserve">1.2899258827209232
</t>
  </si>
  <si>
    <t>1. Transfer time vs Data Unit Size (Error probability = 0)</t>
  </si>
  <si>
    <t>1. Transfer time vs Data Unit Size (Error probability = 0.5)</t>
  </si>
  <si>
    <t>7.874929666519165</t>
  </si>
  <si>
    <t xml:space="preserve">0.4147744980995826
</t>
  </si>
  <si>
    <t>8.98759412765503</t>
  </si>
  <si>
    <t xml:space="preserve">0.3634254010146564
</t>
  </si>
  <si>
    <t>9.320280313491821</t>
  </si>
  <si>
    <t xml:space="preserve">0.35045297889503935
</t>
  </si>
  <si>
    <t>6.252340316772461</t>
  </si>
  <si>
    <t xml:space="preserve">0.5224155811285264
</t>
  </si>
  <si>
    <t>6.035925626754761</t>
  </si>
  <si>
    <t xml:space="preserve">0.5411464954971869
</t>
  </si>
  <si>
    <t>6.098536252975464</t>
  </si>
  <si>
    <t xml:space="preserve">0.5355908146657927
</t>
  </si>
  <si>
    <t>5.609591722488403</t>
  </si>
  <si>
    <t xml:space="preserve">0.5822741050664321
</t>
  </si>
  <si>
    <t>5.699478626251221</t>
  </si>
  <si>
    <t xml:space="preserve">0.5730910165985467
</t>
  </si>
  <si>
    <t>5.1053361892700195</t>
  </si>
  <si>
    <t xml:space="preserve">0.6397854869704538
</t>
  </si>
  <si>
    <t>6.168713808059692</t>
  </si>
  <si>
    <t xml:space="preserve">0.529497736745772
</t>
  </si>
  <si>
    <t>5.5369932651519775</t>
  </si>
  <si>
    <t xml:space="preserve">0.5899086098870931
</t>
  </si>
  <si>
    <t>5.208243131637573</t>
  </si>
  <si>
    <t xml:space="preserve">0.6271443013400577
</t>
  </si>
  <si>
    <t>5.426621437072754</t>
  </si>
  <si>
    <t xml:space="preserve">0.6019067366088335
</t>
  </si>
  <si>
    <t>5.90428352355957</t>
  </si>
  <si>
    <t xml:space="preserve">0.5532119158855711
</t>
  </si>
  <si>
    <t>5.645373106002808</t>
  </si>
  <si>
    <t xml:space="preserve">0.5785835477422873
</t>
  </si>
  <si>
    <t>Avg Transfer Time</t>
  </si>
  <si>
    <t>Avg Throughput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</si>
</sst>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NumberFormat="1"/>
    <xf numFmtId="164" fontId="0" fillId="0" borderId="0" xfId="0" applyNumberFormat="1"/>
    <xf numFmtId="164" fontId="1" fillId="0" borderId="0" xfId="0" applyNumberFormat="1" applyFont="1"/>
    <xf numFmtId="164" fontId="0" fillId="0" borderId="0" xfId="0" applyNumberFormat="1" applyAlignment="1"/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Transfer Time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Sheet1!$A$6:$A$15</c:f>
              <c:numCache>
                <c:formatCode>General</c:formatCode>
                <c:ptCount val="1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</c:numCache>
            </c:numRef>
          </c:cat>
          <c:val>
            <c:numRef>
              <c:f>Sheet1!$H$6:$H$15</c:f>
              <c:numCache>
                <c:formatCode>0.0000000000000000</c:formatCode>
                <c:ptCount val="10"/>
                <c:pt idx="0">
                  <c:v>3.7159425417582135</c:v>
                </c:pt>
                <c:pt idx="1">
                  <c:v>3.9314092000325469</c:v>
                </c:pt>
                <c:pt idx="2">
                  <c:v>4.41087969144185</c:v>
                </c:pt>
                <c:pt idx="3">
                  <c:v>5.1528811454772905</c:v>
                </c:pt>
                <c:pt idx="4">
                  <c:v>5.8956913153330399</c:v>
                </c:pt>
                <c:pt idx="5">
                  <c:v>7.0773416360219272</c:v>
                </c:pt>
                <c:pt idx="6">
                  <c:v>8.9287761052449497</c:v>
                </c:pt>
                <c:pt idx="7">
                  <c:v>11.900309880574467</c:v>
                </c:pt>
                <c:pt idx="8">
                  <c:v>17.423755725224769</c:v>
                </c:pt>
                <c:pt idx="9">
                  <c:v>33.49134095509843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0B-4DA2-95E0-0BC6E5086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072112"/>
        <c:axId val="986782752"/>
      </c:lineChart>
      <c:catAx>
        <c:axId val="9830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782752"/>
        <c:crosses val="autoZero"/>
        <c:auto val="1"/>
        <c:lblAlgn val="ctr"/>
        <c:lblOffset val="100"/>
        <c:noMultiLvlLbl val="0"/>
      </c:catAx>
      <c:valAx>
        <c:axId val="98678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072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Throughput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Sheet1!$A$6:$A$15</c:f>
              <c:numCache>
                <c:formatCode>General</c:formatCode>
                <c:ptCount val="10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</c:numCache>
            </c:numRef>
          </c:cat>
          <c:val>
            <c:numRef>
              <c:f>Sheet1!$I$6:$I$15</c:f>
              <c:numCache>
                <c:formatCode>General</c:formatCode>
                <c:ptCount val="10"/>
                <c:pt idx="0">
                  <c:v>0.87966803559999995</c:v>
                </c:pt>
                <c:pt idx="1">
                  <c:v>0.83106712916767733</c:v>
                </c:pt>
                <c:pt idx="2">
                  <c:v>0.74052584322736026</c:v>
                </c:pt>
                <c:pt idx="3">
                  <c:v>0.63399384590165198</c:v>
                </c:pt>
                <c:pt idx="4">
                  <c:v>0.55469426756693496</c:v>
                </c:pt>
                <c:pt idx="5">
                  <c:v>0.46161924793221937</c:v>
                </c:pt>
                <c:pt idx="6">
                  <c:v>0.36586976762892265</c:v>
                </c:pt>
                <c:pt idx="7">
                  <c:v>0.2745958511171</c:v>
                </c:pt>
                <c:pt idx="8">
                  <c:v>0.18759080295089234</c:v>
                </c:pt>
                <c:pt idx="9">
                  <c:v>9.7666165594159041E-2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8-40F3-AD61-42C7B66A8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6478560"/>
        <c:axId val="986796064"/>
      </c:lineChart>
      <c:catAx>
        <c:axId val="98647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796064"/>
        <c:crosses val="autoZero"/>
        <c:auto val="1"/>
        <c:lblAlgn val="ctr"/>
        <c:lblOffset val="100"/>
        <c:noMultiLvlLbl val="0"/>
      </c:catAx>
      <c:valAx>
        <c:axId val="98679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47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Transfer Time (0 Error)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Sheet1!$A$19:$A$23</c:f>
              <c:strCache>
                <c:ptCount val="5"/>
                <c:pt idx="0">
                  <c:v>128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strCache>
            </c:strRef>
          </c:cat>
          <c:val>
            <c:numRef>
              <c:f>Sheet1!$H$19:$H$23</c:f>
              <c:numCache>
                <c:formatCode>0.0000000000000000</c:formatCode>
                <c:ptCount val="5"/>
                <c:pt idx="0">
                  <c:v>4.6422919432322134</c:v>
                </c:pt>
                <c:pt idx="1">
                  <c:v>2.8893493811289432</c:v>
                </c:pt>
                <c:pt idx="2">
                  <c:v>2.6691010793050065</c:v>
                </c:pt>
                <c:pt idx="3">
                  <c:v>2.5638504823048831</c:v>
                </c:pt>
                <c:pt idx="4">
                  <c:v>2.5423493385314901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8B-484D-B29C-4783A9A37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390176"/>
        <c:axId val="986791072"/>
      </c:lineChart>
      <c:catAx>
        <c:axId val="104339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791072"/>
        <c:crosses val="autoZero"/>
        <c:auto val="1"/>
        <c:lblAlgn val="ctr"/>
        <c:lblOffset val="100"/>
        <c:noMultiLvlLbl val="0"/>
      </c:catAx>
      <c:valAx>
        <c:axId val="98679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90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Transfer Time (0.5 Error)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Sheet1!$A$27:$A$31</c:f>
              <c:strCache>
                <c:ptCount val="5"/>
                <c:pt idx="0">
                  <c:v>128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strCache>
            </c:strRef>
          </c:cat>
          <c:val>
            <c:numRef>
              <c:f>Sheet1!$H$27:$H$31</c:f>
              <c:numCache>
                <c:formatCode>0.0000000000000000</c:formatCode>
                <c:ptCount val="5"/>
                <c:pt idx="0">
                  <c:v>8.7276013692220022</c:v>
                </c:pt>
                <c:pt idx="1">
                  <c:v>6.1289340655008928</c:v>
                </c:pt>
                <c:pt idx="2">
                  <c:v>5.4714688460032095</c:v>
                </c:pt>
                <c:pt idx="3">
                  <c:v>5.6379834016164097</c:v>
                </c:pt>
                <c:pt idx="4">
                  <c:v>5.6587593555450404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12-4628-A122-C6863A498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9623072"/>
        <c:axId val="986683328"/>
      </c:lineChart>
      <c:catAx>
        <c:axId val="104962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83328"/>
        <c:crosses val="autoZero"/>
        <c:auto val="1"/>
        <c:lblAlgn val="ctr"/>
        <c:lblOffset val="100"/>
        <c:noMultiLvlLbl val="0"/>
      </c:catAx>
      <c:valAx>
        <c:axId val="98668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623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Throughput (0 Error)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Sheet1!$A$19:$A$23</c:f>
              <c:strCache>
                <c:ptCount val="5"/>
                <c:pt idx="0">
                  <c:v>128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strCache>
            </c:strRef>
          </c:cat>
          <c:val>
            <c:numRef>
              <c:f>Sheet1!$I$19:$I$23</c:f>
              <c:numCache>
                <c:formatCode>General</c:formatCode>
                <c:ptCount val="5"/>
                <c:pt idx="0">
                  <c:v>0.70404803281124761</c:v>
                </c:pt>
                <c:pt idx="1">
                  <c:v>3.3916763013543001</c:v>
                </c:pt>
                <c:pt idx="2">
                  <c:v>3.6713125083693199</c:v>
                </c:pt>
                <c:pt idx="3">
                  <c:v>3.82203201587759</c:v>
                </c:pt>
                <c:pt idx="4">
                  <c:v>3.8543445183581602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9D-4FAE-AF59-3A24DB876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2326704"/>
        <c:axId val="986678336"/>
      </c:lineChart>
      <c:catAx>
        <c:axId val="123232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78336"/>
        <c:crosses val="autoZero"/>
        <c:auto val="1"/>
        <c:lblAlgn val="ctr"/>
        <c:lblOffset val="100"/>
        <c:noMultiLvlLbl val="0"/>
      </c:catAx>
      <c:valAx>
        <c:axId val="986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232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Throughput (0.5 Error)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Sheet1!$A$27:$A$31</c:f>
              <c:strCache>
                <c:ptCount val="5"/>
                <c:pt idx="0">
                  <c:v>128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strCache>
            </c:strRef>
          </c:cat>
          <c:val>
            <c:numRef>
              <c:f>Sheet1!$I$27:$I$31</c:f>
              <c:numCache>
                <c:formatCode>General</c:formatCode>
                <c:ptCount val="5"/>
                <c:pt idx="0">
                  <c:v>0.37621762600309233</c:v>
                </c:pt>
                <c:pt idx="1">
                  <c:v>0.53305096376383465</c:v>
                </c:pt>
                <c:pt idx="2">
                  <c:v>0.59838353621181029</c:v>
                </c:pt>
                <c:pt idx="3">
                  <c:v>0.58218354932430738</c:v>
                </c:pt>
                <c:pt idx="4">
                  <c:v>0.57790073341223025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12-469C-B665-C85CEC6A0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453520"/>
        <c:axId val="986700800"/>
      </c:lineChart>
      <c:catAx>
        <c:axId val="123445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700800"/>
        <c:crosses val="autoZero"/>
        <c:auto val="1"/>
        <c:lblAlgn val="ctr"/>
        <c:lblOffset val="100"/>
        <c:noMultiLvlLbl val="0"/>
      </c:catAx>
      <c:valAx>
        <c:axId val="98670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45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</xdr:row>
      <xdr:rowOff>121920</xdr:rowOff>
    </xdr:from>
    <xdr:to>
      <xdr:col>16</xdr:col>
      <xdr:colOff>45720</xdr:colOff>
      <xdr:row>17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2A8A1B-821B-4735-8233-9A4B42120A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160020</xdr:colOff>
      <xdr:row>2</xdr:row>
      <xdr:rowOff>91440</xdr:rowOff>
    </xdr:from>
    <xdr:to>
      <xdr:col>23</xdr:col>
      <xdr:colOff>464820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7601C8-8FC3-47F9-BA48-6ACED2A6AA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342900</xdr:colOff>
      <xdr:row>31</xdr:row>
      <xdr:rowOff>129540</xdr:rowOff>
    </xdr:from>
    <xdr:to>
      <xdr:col>3</xdr:col>
      <xdr:colOff>1021080</xdr:colOff>
      <xdr:row>46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A98A91-89E3-4EBD-AEA3-9D5AABF44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53340</xdr:colOff>
      <xdr:row>31</xdr:row>
      <xdr:rowOff>152400</xdr:rowOff>
    </xdr:from>
    <xdr:to>
      <xdr:col>7</xdr:col>
      <xdr:colOff>533400</xdr:colOff>
      <xdr:row>46</xdr:row>
      <xdr:rowOff>106680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217359-D430-4639-AD73-E7D23E0AE3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723900</xdr:colOff>
      <xdr:row>31</xdr:row>
      <xdr:rowOff>175260</xdr:rowOff>
    </xdr:from>
    <xdr:to>
      <xdr:col>11</xdr:col>
      <xdr:colOff>502920</xdr:colOff>
      <xdr:row>46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95AF0B-89B2-4763-BA22-1F0EFEEA8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342900</xdr:colOff>
      <xdr:row>46</xdr:row>
      <xdr:rowOff>167640</xdr:rowOff>
    </xdr:from>
    <xdr:to>
      <xdr:col>3</xdr:col>
      <xdr:colOff>1021080</xdr:colOff>
      <xdr:row>61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CB01A7-7630-43AF-8917-A9AB89CEF1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143-BD27-4227-9C1A-B09ADB329E1E}">
  <dimension ref="A1:I33"/>
  <sheetViews>
    <sheetView tabSelected="1" topLeftCell="A16" zoomScaleNormal="100" workbookViewId="0">
      <selection activeCell="E25" sqref="E25"/>
    </sheetView>
  </sheetViews>
  <sheetFormatPr defaultRowHeight="14.4" x14ac:dyDescent="0.3"/>
  <cols>
    <col min="1" max="1" width="17.6640625" customWidth="1"/>
    <col min="2" max="2" width="18.5546875" style="4" bestFit="1" customWidth="1"/>
    <col min="3" max="3" width="20.5546875" style="4" bestFit="1" customWidth="1"/>
    <col min="4" max="4" width="18.5546875" style="4" bestFit="1" customWidth="1"/>
    <col min="5" max="5" width="20.5546875" style="4" bestFit="1" customWidth="1"/>
    <col min="6" max="6" width="18.5546875" style="4" bestFit="1" customWidth="1"/>
    <col min="7" max="7" width="20.5546875" style="4" bestFit="1" customWidth="1"/>
    <col min="8" max="8" width="19.5546875" style="4" bestFit="1" customWidth="1"/>
    <col min="9" max="11" width="16.77734375" customWidth="1"/>
  </cols>
  <sheetData>
    <row r="1" spans="1:9" x14ac:dyDescent="0.3">
      <c r="A1" s="1" t="s">
        <v>1</v>
      </c>
    </row>
    <row r="2" spans="1:9" hidden="1" x14ac:dyDescent="0.3">
      <c r="A2" s="1" t="s">
        <v>2</v>
      </c>
    </row>
    <row r="3" spans="1:9" x14ac:dyDescent="0.3">
      <c r="A3" s="1"/>
    </row>
    <row r="4" spans="1:9" ht="18" x14ac:dyDescent="0.35">
      <c r="A4" s="2" t="s">
        <v>3</v>
      </c>
    </row>
    <row r="5" spans="1:9" x14ac:dyDescent="0.3">
      <c r="A5" s="1" t="s">
        <v>0</v>
      </c>
      <c r="B5" s="5" t="s">
        <v>5</v>
      </c>
      <c r="C5" s="5" t="s">
        <v>4</v>
      </c>
      <c r="D5" s="5" t="s">
        <v>5</v>
      </c>
      <c r="E5" s="5" t="s">
        <v>4</v>
      </c>
      <c r="F5" s="5" t="s">
        <v>5</v>
      </c>
      <c r="G5" s="5" t="s">
        <v>4</v>
      </c>
      <c r="H5" s="5" t="s">
        <v>131</v>
      </c>
      <c r="I5" s="1" t="s">
        <v>132</v>
      </c>
    </row>
    <row r="6" spans="1:9" x14ac:dyDescent="0.3">
      <c r="A6">
        <v>0</v>
      </c>
      <c r="B6" s="4" t="s">
        <v>6</v>
      </c>
      <c r="C6" s="6">
        <v>0.88882899446263497</v>
      </c>
      <c r="D6" s="4" t="s">
        <v>23</v>
      </c>
      <c r="E6" s="6" t="s">
        <v>33</v>
      </c>
      <c r="F6" s="4" t="s">
        <v>43</v>
      </c>
      <c r="G6" s="6" t="s">
        <v>53</v>
      </c>
      <c r="H6" s="4">
        <f>(B6+D6+F6)/3</f>
        <v>3.7159425417582135</v>
      </c>
      <c r="I6" s="3">
        <v>0.87966803559999995</v>
      </c>
    </row>
    <row r="7" spans="1:9" x14ac:dyDescent="0.3">
      <c r="A7">
        <v>0.1</v>
      </c>
      <c r="B7" s="4" t="s">
        <v>7</v>
      </c>
      <c r="C7" s="7">
        <v>0.81273842284737696</v>
      </c>
      <c r="D7" s="4" t="s">
        <v>24</v>
      </c>
      <c r="E7" s="4" t="s">
        <v>34</v>
      </c>
      <c r="F7" s="4" t="s">
        <v>44</v>
      </c>
      <c r="G7" s="4" t="s">
        <v>54</v>
      </c>
      <c r="H7" s="4">
        <f t="shared" ref="H7:H15" si="0">(B7+D7+F7)/3</f>
        <v>3.9314092000325469</v>
      </c>
      <c r="I7" s="3">
        <v>0.83106712916767733</v>
      </c>
    </row>
    <row r="8" spans="1:9" x14ac:dyDescent="0.3">
      <c r="A8">
        <v>0.2</v>
      </c>
      <c r="B8" s="4" t="s">
        <v>8</v>
      </c>
      <c r="C8" s="7">
        <v>0.74461309656777996</v>
      </c>
      <c r="D8" s="4" t="s">
        <v>25</v>
      </c>
      <c r="E8" s="4" t="s">
        <v>35</v>
      </c>
      <c r="F8" s="4" t="s">
        <v>45</v>
      </c>
      <c r="G8" s="4" t="s">
        <v>55</v>
      </c>
      <c r="H8" s="4">
        <f t="shared" si="0"/>
        <v>4.41087969144185</v>
      </c>
      <c r="I8" s="3">
        <v>0.74052584322736026</v>
      </c>
    </row>
    <row r="9" spans="1:9" x14ac:dyDescent="0.3">
      <c r="A9">
        <v>0.3</v>
      </c>
      <c r="B9" s="4" t="s">
        <v>9</v>
      </c>
      <c r="C9" s="4" t="s">
        <v>16</v>
      </c>
      <c r="D9" s="4" t="s">
        <v>26</v>
      </c>
      <c r="E9" s="4" t="s">
        <v>36</v>
      </c>
      <c r="F9" s="4" t="s">
        <v>46</v>
      </c>
      <c r="G9" s="4" t="s">
        <v>56</v>
      </c>
      <c r="H9" s="4">
        <f t="shared" si="0"/>
        <v>5.1528811454772905</v>
      </c>
      <c r="I9" s="3">
        <v>0.63399384590165198</v>
      </c>
    </row>
    <row r="10" spans="1:9" x14ac:dyDescent="0.3">
      <c r="A10">
        <v>0.4</v>
      </c>
      <c r="B10" s="4" t="s">
        <v>10</v>
      </c>
      <c r="C10" s="4" t="s">
        <v>17</v>
      </c>
      <c r="D10" s="4" t="s">
        <v>27</v>
      </c>
      <c r="E10" s="4" t="s">
        <v>37</v>
      </c>
      <c r="F10" s="4" t="s">
        <v>47</v>
      </c>
      <c r="G10" s="4" t="s">
        <v>57</v>
      </c>
      <c r="H10" s="4">
        <f t="shared" si="0"/>
        <v>5.8956913153330399</v>
      </c>
      <c r="I10" s="3">
        <v>0.55469426756693496</v>
      </c>
    </row>
    <row r="11" spans="1:9" x14ac:dyDescent="0.3">
      <c r="A11">
        <v>0.5</v>
      </c>
      <c r="B11" s="4" t="s">
        <v>11</v>
      </c>
      <c r="C11" s="4" t="s">
        <v>18</v>
      </c>
      <c r="D11" s="4" t="s">
        <v>28</v>
      </c>
      <c r="E11" s="4" t="s">
        <v>38</v>
      </c>
      <c r="F11" s="4" t="s">
        <v>48</v>
      </c>
      <c r="G11" s="4" t="s">
        <v>58</v>
      </c>
      <c r="H11" s="4">
        <f t="shared" si="0"/>
        <v>7.0773416360219272</v>
      </c>
      <c r="I11" s="3">
        <v>0.46161924793221937</v>
      </c>
    </row>
    <row r="12" spans="1:9" x14ac:dyDescent="0.3">
      <c r="A12">
        <v>0.6</v>
      </c>
      <c r="B12" s="4" t="s">
        <v>12</v>
      </c>
      <c r="C12" s="4" t="s">
        <v>19</v>
      </c>
      <c r="D12" s="4" t="s">
        <v>29</v>
      </c>
      <c r="E12" s="4" t="s">
        <v>39</v>
      </c>
      <c r="F12" s="4" t="s">
        <v>49</v>
      </c>
      <c r="G12" s="4" t="s">
        <v>59</v>
      </c>
      <c r="H12" s="4">
        <f t="shared" si="0"/>
        <v>8.9287761052449497</v>
      </c>
      <c r="I12" s="3">
        <v>0.36586976762892265</v>
      </c>
    </row>
    <row r="13" spans="1:9" x14ac:dyDescent="0.3">
      <c r="A13">
        <v>0.7</v>
      </c>
      <c r="B13" s="4" t="s">
        <v>13</v>
      </c>
      <c r="C13" s="4" t="s">
        <v>20</v>
      </c>
      <c r="D13" s="4" t="s">
        <v>30</v>
      </c>
      <c r="E13" s="4" t="s">
        <v>40</v>
      </c>
      <c r="F13" s="4" t="s">
        <v>50</v>
      </c>
      <c r="G13" s="4" t="s">
        <v>60</v>
      </c>
      <c r="H13" s="4">
        <f t="shared" si="0"/>
        <v>11.900309880574467</v>
      </c>
      <c r="I13" s="3">
        <v>0.2745958511171</v>
      </c>
    </row>
    <row r="14" spans="1:9" x14ac:dyDescent="0.3">
      <c r="A14">
        <v>0.8</v>
      </c>
      <c r="B14" s="4" t="s">
        <v>14</v>
      </c>
      <c r="C14" s="4" t="s">
        <v>21</v>
      </c>
      <c r="D14" s="4" t="s">
        <v>31</v>
      </c>
      <c r="E14" s="4" t="s">
        <v>41</v>
      </c>
      <c r="F14" s="4" t="s">
        <v>51</v>
      </c>
      <c r="G14" s="4" t="s">
        <v>61</v>
      </c>
      <c r="H14" s="4">
        <f t="shared" si="0"/>
        <v>17.423755725224769</v>
      </c>
      <c r="I14" s="3">
        <v>0.18759080295089234</v>
      </c>
    </row>
    <row r="15" spans="1:9" x14ac:dyDescent="0.3">
      <c r="A15">
        <v>0.9</v>
      </c>
      <c r="B15" s="4" t="s">
        <v>15</v>
      </c>
      <c r="C15" s="4" t="s">
        <v>22</v>
      </c>
      <c r="D15" s="4" t="s">
        <v>32</v>
      </c>
      <c r="E15" s="4" t="s">
        <v>42</v>
      </c>
      <c r="F15" s="4" t="s">
        <v>52</v>
      </c>
      <c r="G15" s="4" t="s">
        <v>62</v>
      </c>
      <c r="H15" s="4">
        <f t="shared" si="0"/>
        <v>33.49134095509843</v>
      </c>
      <c r="I15" s="3">
        <v>9.7666165594159041E-2</v>
      </c>
    </row>
    <row r="17" spans="1:9" ht="18" x14ac:dyDescent="0.35">
      <c r="A17" s="2" t="s">
        <v>99</v>
      </c>
    </row>
    <row r="18" spans="1:9" x14ac:dyDescent="0.3">
      <c r="A18" s="1" t="s">
        <v>63</v>
      </c>
      <c r="B18" s="5" t="s">
        <v>5</v>
      </c>
      <c r="C18" s="5" t="s">
        <v>4</v>
      </c>
      <c r="D18" s="5" t="s">
        <v>5</v>
      </c>
      <c r="E18" s="5" t="s">
        <v>4</v>
      </c>
      <c r="F18" s="5" t="s">
        <v>5</v>
      </c>
      <c r="G18" s="5" t="s">
        <v>4</v>
      </c>
      <c r="H18" s="5" t="s">
        <v>131</v>
      </c>
      <c r="I18" s="1" t="s">
        <v>132</v>
      </c>
    </row>
    <row r="19" spans="1:9" x14ac:dyDescent="0.3">
      <c r="A19" t="s">
        <v>64</v>
      </c>
      <c r="B19" s="4" t="s">
        <v>65</v>
      </c>
      <c r="C19" s="4" t="s">
        <v>66</v>
      </c>
      <c r="D19" s="4" t="s">
        <v>67</v>
      </c>
      <c r="E19" s="4" t="s">
        <v>68</v>
      </c>
      <c r="F19" s="4" t="s">
        <v>69</v>
      </c>
      <c r="G19" s="4" t="s">
        <v>70</v>
      </c>
      <c r="H19" s="4">
        <f>(B19+D19+F19)/3</f>
        <v>4.6422919432322134</v>
      </c>
      <c r="I19">
        <v>0.70404803281124761</v>
      </c>
    </row>
    <row r="20" spans="1:9" x14ac:dyDescent="0.3">
      <c r="A20" t="s">
        <v>71</v>
      </c>
      <c r="B20" s="4" t="s">
        <v>72</v>
      </c>
      <c r="C20" s="4" t="s">
        <v>73</v>
      </c>
      <c r="D20" s="4" t="s">
        <v>74</v>
      </c>
      <c r="E20" s="4" t="s">
        <v>75</v>
      </c>
      <c r="F20" s="4" t="s">
        <v>76</v>
      </c>
      <c r="G20" s="4" t="s">
        <v>77</v>
      </c>
      <c r="H20" s="4">
        <f t="shared" ref="H20:H23" si="1">(B20+D20+F20)/3</f>
        <v>2.8893493811289432</v>
      </c>
      <c r="I20">
        <v>3.3916763013543001</v>
      </c>
    </row>
    <row r="21" spans="1:9" x14ac:dyDescent="0.3">
      <c r="A21" t="s">
        <v>78</v>
      </c>
      <c r="B21" s="4" t="s">
        <v>79</v>
      </c>
      <c r="C21" s="4" t="s">
        <v>80</v>
      </c>
      <c r="D21" s="4" t="s">
        <v>81</v>
      </c>
      <c r="E21" s="4" t="s">
        <v>82</v>
      </c>
      <c r="F21" s="4" t="s">
        <v>83</v>
      </c>
      <c r="G21" s="4" t="s">
        <v>84</v>
      </c>
      <c r="H21" s="4">
        <f t="shared" si="1"/>
        <v>2.6691010793050065</v>
      </c>
      <c r="I21">
        <v>3.6713125083693199</v>
      </c>
    </row>
    <row r="22" spans="1:9" x14ac:dyDescent="0.3">
      <c r="A22" t="s">
        <v>85</v>
      </c>
      <c r="B22" s="4" t="s">
        <v>86</v>
      </c>
      <c r="C22" s="4" t="s">
        <v>87</v>
      </c>
      <c r="D22" s="4" t="s">
        <v>88</v>
      </c>
      <c r="E22" s="4" t="s">
        <v>89</v>
      </c>
      <c r="F22" s="4" t="s">
        <v>90</v>
      </c>
      <c r="G22" s="4" t="s">
        <v>91</v>
      </c>
      <c r="H22" s="4">
        <f t="shared" si="1"/>
        <v>2.5638504823048831</v>
      </c>
      <c r="I22">
        <v>3.82203201587759</v>
      </c>
    </row>
    <row r="23" spans="1:9" x14ac:dyDescent="0.3">
      <c r="A23" t="s">
        <v>92</v>
      </c>
      <c r="B23" s="4" t="s">
        <v>93</v>
      </c>
      <c r="C23" s="4" t="s">
        <v>94</v>
      </c>
      <c r="D23" s="4" t="s">
        <v>95</v>
      </c>
      <c r="E23" s="4" t="s">
        <v>96</v>
      </c>
      <c r="F23" s="4" t="s">
        <v>97</v>
      </c>
      <c r="G23" s="4" t="s">
        <v>98</v>
      </c>
      <c r="H23" s="4">
        <f t="shared" si="1"/>
        <v>2.5423493385314901</v>
      </c>
      <c r="I23">
        <v>3.8543445183581602</v>
      </c>
    </row>
    <row r="25" spans="1:9" ht="18" x14ac:dyDescent="0.35">
      <c r="A25" s="2" t="s">
        <v>100</v>
      </c>
    </row>
    <row r="26" spans="1:9" x14ac:dyDescent="0.3">
      <c r="A26" s="1" t="s">
        <v>63</v>
      </c>
      <c r="B26" s="5" t="s">
        <v>5</v>
      </c>
      <c r="C26" s="5" t="s">
        <v>4</v>
      </c>
      <c r="D26" s="5" t="s">
        <v>5</v>
      </c>
      <c r="E26" s="5" t="s">
        <v>4</v>
      </c>
      <c r="F26" s="5" t="s">
        <v>5</v>
      </c>
      <c r="G26" s="5" t="s">
        <v>4</v>
      </c>
      <c r="H26" s="5" t="s">
        <v>131</v>
      </c>
      <c r="I26" s="1" t="s">
        <v>132</v>
      </c>
    </row>
    <row r="27" spans="1:9" x14ac:dyDescent="0.3">
      <c r="A27" t="s">
        <v>64</v>
      </c>
      <c r="B27" s="4" t="s">
        <v>101</v>
      </c>
      <c r="C27" s="4" t="s">
        <v>102</v>
      </c>
      <c r="D27" s="4" t="s">
        <v>103</v>
      </c>
      <c r="E27" s="4" t="s">
        <v>104</v>
      </c>
      <c r="F27" s="4" t="s">
        <v>105</v>
      </c>
      <c r="G27" s="4" t="s">
        <v>106</v>
      </c>
      <c r="H27" s="4">
        <f>(B27+D27+F27)/3</f>
        <v>8.7276013692220022</v>
      </c>
      <c r="I27">
        <v>0.37621762600309233</v>
      </c>
    </row>
    <row r="28" spans="1:9" x14ac:dyDescent="0.3">
      <c r="A28" t="s">
        <v>71</v>
      </c>
      <c r="B28" s="4" t="s">
        <v>107</v>
      </c>
      <c r="C28" s="4" t="s">
        <v>108</v>
      </c>
      <c r="D28" s="4" t="s">
        <v>109</v>
      </c>
      <c r="E28" s="4" t="s">
        <v>110</v>
      </c>
      <c r="F28" s="4" t="s">
        <v>111</v>
      </c>
      <c r="G28" s="4" t="s">
        <v>112</v>
      </c>
      <c r="H28" s="4">
        <f t="shared" ref="H28:H31" si="2">(B28+D28+F28)/3</f>
        <v>6.1289340655008928</v>
      </c>
      <c r="I28">
        <v>0.53305096376383465</v>
      </c>
    </row>
    <row r="29" spans="1:9" x14ac:dyDescent="0.3">
      <c r="A29" t="s">
        <v>78</v>
      </c>
      <c r="B29" s="4" t="s">
        <v>113</v>
      </c>
      <c r="C29" s="4" t="s">
        <v>114</v>
      </c>
      <c r="D29" s="4" t="s">
        <v>115</v>
      </c>
      <c r="E29" s="4" t="s">
        <v>116</v>
      </c>
      <c r="F29" s="4" t="s">
        <v>117</v>
      </c>
      <c r="G29" s="4" t="s">
        <v>118</v>
      </c>
      <c r="H29" s="4">
        <f t="shared" si="2"/>
        <v>5.4714688460032095</v>
      </c>
      <c r="I29">
        <v>0.59838353621181029</v>
      </c>
    </row>
    <row r="30" spans="1:9" x14ac:dyDescent="0.3">
      <c r="A30" t="s">
        <v>85</v>
      </c>
      <c r="B30" s="4" t="s">
        <v>119</v>
      </c>
      <c r="C30" s="4" t="s">
        <v>120</v>
      </c>
      <c r="D30" s="4" t="s">
        <v>121</v>
      </c>
      <c r="E30" s="4" t="s">
        <v>122</v>
      </c>
      <c r="F30" s="4" t="s">
        <v>123</v>
      </c>
      <c r="G30" s="4" t="s">
        <v>124</v>
      </c>
      <c r="H30" s="4">
        <f t="shared" si="2"/>
        <v>5.6379834016164097</v>
      </c>
      <c r="I30">
        <v>0.58218354932430738</v>
      </c>
    </row>
    <row r="31" spans="1:9" x14ac:dyDescent="0.3">
      <c r="A31" t="s">
        <v>92</v>
      </c>
      <c r="B31" s="4" t="s">
        <v>125</v>
      </c>
      <c r="C31" s="4" t="s">
        <v>126</v>
      </c>
      <c r="D31" s="4" t="s">
        <v>127</v>
      </c>
      <c r="E31" s="4" t="s">
        <v>128</v>
      </c>
      <c r="F31" s="4" t="s">
        <v>129</v>
      </c>
      <c r="G31" s="4" t="s">
        <v>130</v>
      </c>
      <c r="H31" s="4">
        <f t="shared" si="2"/>
        <v>5.6587593555450404</v>
      </c>
      <c r="I31">
        <v>0.57790073341223025</v>
      </c>
    </row>
    <row r="33" spans="1:1" ht="18" x14ac:dyDescent="0.35">
      <c r="A33" s="2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CADA-A984-4408-9A25-335646FA9F7F}">
  <dimension ref="A1:I33"/>
  <sheetViews>
    <sheetView topLeftCell="A11" zoomScaleNormal="100" workbookViewId="0">
      <selection activeCell="I27" sqref="I27:I31"/>
    </sheetView>
  </sheetViews>
  <sheetFormatPr defaultRowHeight="14.4" x14ac:dyDescent="0.3"/>
  <cols>
    <col min="1" max="1" width="17.6640625" customWidth="1"/>
    <col min="2" max="2" width="18.5546875" style="4" bestFit="1" customWidth="1"/>
    <col min="3" max="3" width="20.5546875" style="4" bestFit="1" customWidth="1"/>
    <col min="4" max="4" width="18.5546875" style="4" bestFit="1" customWidth="1"/>
    <col min="5" max="5" width="20.5546875" style="4" bestFit="1" customWidth="1"/>
    <col min="6" max="6" width="18.5546875" style="4" bestFit="1" customWidth="1"/>
    <col min="7" max="7" width="20.5546875" style="4" bestFit="1" customWidth="1"/>
    <col min="8" max="8" width="19.5546875" style="4" bestFit="1" customWidth="1"/>
    <col min="9" max="11" width="16.77734375" customWidth="1"/>
  </cols>
  <sheetData>
    <row r="1" spans="1:9" x14ac:dyDescent="0.3">
      <c r="A1" s="1" t="s">
        <v>1</v>
      </c>
      <c r="B1" s="4" t="str">
        <f>CLEAN(TRIM(Sheet1!B1))</f>
        <v/>
      </c>
      <c r="C1" s="4" t="str">
        <f>CLEAN(TRIM(Sheet1!C1))</f>
        <v/>
      </c>
      <c r="D1" s="4" t="str">
        <f>CLEAN(TRIM(Sheet1!D1))</f>
        <v/>
      </c>
      <c r="E1" s="4" t="str">
        <f>CLEAN(TRIM(Sheet1!E1))</f>
        <v/>
      </c>
      <c r="F1" s="4" t="str">
        <f>CLEAN(TRIM(Sheet1!F1))</f>
        <v/>
      </c>
      <c r="G1" s="4" t="str">
        <f>CLEAN(TRIM(Sheet1!G1))</f>
        <v/>
      </c>
      <c r="H1" s="4" t="str">
        <f>CLEAN(TRIM(Sheet1!H1))</f>
        <v/>
      </c>
    </row>
    <row r="2" spans="1:9" x14ac:dyDescent="0.3">
      <c r="A2" s="1" t="s">
        <v>2</v>
      </c>
      <c r="B2" s="4" t="str">
        <f>CLEAN(TRIM(Sheet1!B2))</f>
        <v/>
      </c>
      <c r="C2" s="4" t="str">
        <f>CLEAN(TRIM(Sheet1!C2))</f>
        <v/>
      </c>
      <c r="D2" s="4" t="str">
        <f>CLEAN(TRIM(Sheet1!D2))</f>
        <v/>
      </c>
      <c r="E2" s="4" t="str">
        <f>CLEAN(TRIM(Sheet1!E2))</f>
        <v/>
      </c>
      <c r="F2" s="4" t="str">
        <f>CLEAN(TRIM(Sheet1!F2))</f>
        <v/>
      </c>
      <c r="G2" s="4" t="str">
        <f>CLEAN(TRIM(Sheet1!G2))</f>
        <v/>
      </c>
      <c r="H2" s="4" t="str">
        <f>CLEAN(TRIM(Sheet1!H2))</f>
        <v/>
      </c>
    </row>
    <row r="3" spans="1:9" x14ac:dyDescent="0.3">
      <c r="A3" s="1"/>
      <c r="B3" s="4" t="str">
        <f>CLEAN(TRIM(Sheet1!B3))</f>
        <v/>
      </c>
      <c r="C3" s="4" t="str">
        <f>CLEAN(TRIM(Sheet1!C3))</f>
        <v/>
      </c>
      <c r="D3" s="4" t="str">
        <f>CLEAN(TRIM(Sheet1!D3))</f>
        <v/>
      </c>
      <c r="E3" s="4" t="str">
        <f>CLEAN(TRIM(Sheet1!E3))</f>
        <v/>
      </c>
      <c r="F3" s="4" t="str">
        <f>CLEAN(TRIM(Sheet1!F3))</f>
        <v/>
      </c>
      <c r="G3" s="4" t="str">
        <f>CLEAN(TRIM(Sheet1!G3))</f>
        <v/>
      </c>
      <c r="H3" s="4" t="str">
        <f>CLEAN(TRIM(Sheet1!H3))</f>
        <v/>
      </c>
    </row>
    <row r="4" spans="1:9" ht="18" x14ac:dyDescent="0.35">
      <c r="A4" s="2" t="s">
        <v>3</v>
      </c>
      <c r="B4" s="4" t="str">
        <f>CLEAN(TRIM(Sheet1!B4))</f>
        <v/>
      </c>
      <c r="C4" s="4" t="str">
        <f>CLEAN(TRIM(Sheet1!C4))</f>
        <v/>
      </c>
      <c r="D4" s="4" t="str">
        <f>CLEAN(TRIM(Sheet1!D4))</f>
        <v/>
      </c>
      <c r="E4" s="4" t="str">
        <f>CLEAN(TRIM(Sheet1!E4))</f>
        <v/>
      </c>
      <c r="F4" s="4" t="str">
        <f>CLEAN(TRIM(Sheet1!F4))</f>
        <v/>
      </c>
      <c r="G4" s="4" t="str">
        <f>CLEAN(TRIM(Sheet1!G4))</f>
        <v/>
      </c>
      <c r="H4" s="4" t="str">
        <f>CLEAN(TRIM(Sheet1!H4))</f>
        <v/>
      </c>
    </row>
    <row r="5" spans="1:9" x14ac:dyDescent="0.3">
      <c r="A5" s="1" t="s">
        <v>0</v>
      </c>
      <c r="B5" s="5" t="str">
        <f>CLEAN(TRIM(Sheet1!B5))</f>
        <v>Transfer Time/s</v>
      </c>
      <c r="C5" s="5" t="str">
        <f>CLEAN(TRIM(Sheet1!C5))</f>
        <v>Throughput/Mbps</v>
      </c>
      <c r="D5" s="5" t="str">
        <f>CLEAN(TRIM(Sheet1!D5))</f>
        <v>Transfer Time/s</v>
      </c>
      <c r="E5" s="5" t="str">
        <f>CLEAN(TRIM(Sheet1!E5))</f>
        <v>Throughput/Mbps</v>
      </c>
      <c r="F5" s="5" t="str">
        <f>CLEAN(TRIM(Sheet1!F5))</f>
        <v>Transfer Time/s</v>
      </c>
      <c r="G5" s="5" t="str">
        <f>CLEAN(TRIM(Sheet1!G5))</f>
        <v>Throughput/Mbps</v>
      </c>
      <c r="H5" s="5" t="str">
        <f>CLEAN(TRIM(Sheet1!H5))</f>
        <v>Avg Transfer Time</v>
      </c>
      <c r="I5" s="1" t="s">
        <v>132</v>
      </c>
    </row>
    <row r="6" spans="1:9" x14ac:dyDescent="0.3">
      <c r="A6">
        <v>0</v>
      </c>
      <c r="B6" s="4" t="str">
        <f>CLEAN(TRIM(Sheet1!B6))</f>
        <v>3.6748576164245605</v>
      </c>
      <c r="C6" s="6" t="str">
        <f>CLEAN(TRIM(Sheet1!C6))</f>
        <v>0.888828994462635</v>
      </c>
      <c r="D6" s="4" t="str">
        <f>CLEAN(TRIM(Sheet1!D6))</f>
        <v>3.6154391765594482</v>
      </c>
      <c r="E6" s="6" t="str">
        <f>CLEAN(TRIM(Sheet1!E6))</f>
        <v>0.9034365786533077</v>
      </c>
      <c r="F6" s="4" t="str">
        <f>CLEAN(TRIM(Sheet1!F6))</f>
        <v>3.8575308322906494</v>
      </c>
      <c r="G6" s="6" t="str">
        <f>CLEAN(TRIM(Sheet1!G6))</f>
        <v>0.8467385335350435</v>
      </c>
      <c r="H6" s="4" t="str">
        <f>CLEAN(TRIM(Sheet1!H6))</f>
        <v>3.71594254175821</v>
      </c>
      <c r="I6" s="3">
        <v>0.87966803559999995</v>
      </c>
    </row>
    <row r="7" spans="1:9" x14ac:dyDescent="0.3">
      <c r="A7">
        <v>0.1</v>
      </c>
      <c r="B7" s="4" t="str">
        <f>CLEAN(TRIM(Sheet1!B7))</f>
        <v>4.018906831741333</v>
      </c>
      <c r="C7" s="4" t="str">
        <f>CLEAN(TRIM(Sheet1!C7))</f>
        <v>0.812738422847377</v>
      </c>
      <c r="D7" s="4" t="str">
        <f>CLEAN(TRIM(Sheet1!D7))</f>
        <v>3.9191746711730957</v>
      </c>
      <c r="E7" s="4" t="str">
        <f>CLEAN(TRIM(Sheet1!E7))</f>
        <v>0.8334203688406462</v>
      </c>
      <c r="F7" s="4" t="str">
        <f>CLEAN(TRIM(Sheet1!F7))</f>
        <v>3.8561460971832275</v>
      </c>
      <c r="G7" s="4" t="str">
        <f>CLEAN(TRIM(Sheet1!G7))</f>
        <v>0.8470425958150097</v>
      </c>
      <c r="H7" s="4" t="str">
        <f>CLEAN(TRIM(Sheet1!H7))</f>
        <v>3.93140920003255</v>
      </c>
      <c r="I7" s="3">
        <f>(C7+E7+G7)/3</f>
        <v>0.83106712916767733</v>
      </c>
    </row>
    <row r="8" spans="1:9" x14ac:dyDescent="0.3">
      <c r="A8">
        <v>0.2</v>
      </c>
      <c r="B8" s="4" t="str">
        <f>CLEAN(TRIM(Sheet1!B8))</f>
        <v>4.3866002559661865</v>
      </c>
      <c r="C8" s="4" t="str">
        <f>CLEAN(TRIM(Sheet1!C8))</f>
        <v>0.74461309656778</v>
      </c>
      <c r="D8" s="4" t="str">
        <f>CLEAN(TRIM(Sheet1!D8))</f>
        <v>4.420364141464233</v>
      </c>
      <c r="E8" s="4" t="str">
        <f>CLEAN(TRIM(Sheet1!E8))</f>
        <v>0.7389255489974274</v>
      </c>
      <c r="F8" s="4" t="str">
        <f>CLEAN(TRIM(Sheet1!F8))</f>
        <v>4.425674676895142</v>
      </c>
      <c r="G8" s="4" t="str">
        <f>CLEAN(TRIM(Sheet1!G8))</f>
        <v>0.7380388841168747</v>
      </c>
      <c r="H8" s="4" t="str">
        <f>CLEAN(TRIM(Sheet1!H8))</f>
        <v>4.41087969144185</v>
      </c>
      <c r="I8" s="3">
        <f t="shared" ref="I8:I15" si="0">(C8+E8+G8)/3</f>
        <v>0.74052584322736026</v>
      </c>
    </row>
    <row r="9" spans="1:9" x14ac:dyDescent="0.3">
      <c r="A9">
        <v>0.3</v>
      </c>
      <c r="B9" s="4" t="str">
        <f>CLEAN(TRIM(Sheet1!B9))</f>
        <v>5.077943563461304</v>
      </c>
      <c r="C9" s="4" t="str">
        <f>CLEAN(TRIM(Sheet1!C9))</f>
        <v>0.6432367668485</v>
      </c>
      <c r="D9" s="4" t="str">
        <f>CLEAN(TRIM(Sheet1!D9))</f>
        <v>5.2435290813446045</v>
      </c>
      <c r="E9" s="4" t="str">
        <f>CLEAN(TRIM(Sheet1!E9))</f>
        <v>0.6229239791233148</v>
      </c>
      <c r="F9" s="4" t="str">
        <f>CLEAN(TRIM(Sheet1!F9))</f>
        <v>5.137170791625977</v>
      </c>
      <c r="G9" s="4" t="str">
        <f>CLEAN(TRIM(Sheet1!G9))</f>
        <v>0.635820791733142</v>
      </c>
      <c r="H9" s="4" t="str">
        <f>CLEAN(TRIM(Sheet1!H9))</f>
        <v>5.15288114547729</v>
      </c>
      <c r="I9" s="3">
        <f t="shared" si="0"/>
        <v>0.63399384590165198</v>
      </c>
    </row>
    <row r="10" spans="1:9" x14ac:dyDescent="0.3">
      <c r="A10">
        <v>0.4</v>
      </c>
      <c r="B10" s="4" t="str">
        <f>CLEAN(TRIM(Sheet1!B10))</f>
        <v>6.179945230484009</v>
      </c>
      <c r="C10" s="4" t="str">
        <f>CLEAN(TRIM(Sheet1!C10))</f>
        <v>0.5285354284190289</v>
      </c>
      <c r="D10" s="4" t="str">
        <f>CLEAN(TRIM(Sheet1!D10))</f>
        <v>5.6897032260894775</v>
      </c>
      <c r="E10" s="4" t="str">
        <f>CLEAN(TRIM(Sheet1!E10))</f>
        <v>0.5740756363218853</v>
      </c>
      <c r="F10" s="4" t="str">
        <f>CLEAN(TRIM(Sheet1!F10))</f>
        <v>5.817425489425659</v>
      </c>
      <c r="G10" s="4" t="str">
        <f>CLEAN(TRIM(Sheet1!G10))</f>
        <v>0.561471737959892</v>
      </c>
      <c r="H10" s="4" t="str">
        <f>CLEAN(TRIM(Sheet1!H10))</f>
        <v>5.89569131533304</v>
      </c>
      <c r="I10" s="3">
        <f t="shared" si="0"/>
        <v>0.55469426756693496</v>
      </c>
    </row>
    <row r="11" spans="1:9" x14ac:dyDescent="0.3">
      <c r="A11">
        <v>0.5</v>
      </c>
      <c r="B11" s="4" t="str">
        <f>CLEAN(TRIM(Sheet1!B11))</f>
        <v>6.9958109855651855</v>
      </c>
      <c r="C11" s="4" t="str">
        <f>CLEAN(TRIM(Sheet1!C11))</f>
        <v>0.4668965480541949</v>
      </c>
      <c r="D11" s="4" t="str">
        <f>CLEAN(TRIM(Sheet1!D11))</f>
        <v>7.010043382644653</v>
      </c>
      <c r="E11" s="4" t="str">
        <f>CLEAN(TRIM(Sheet1!E11))</f>
        <v>0.46594861425347234</v>
      </c>
      <c r="F11" s="4" t="str">
        <f>CLEAN(TRIM(Sheet1!F11))</f>
        <v>7.226170539855957</v>
      </c>
      <c r="G11" s="4" t="str">
        <f>CLEAN(TRIM(Sheet1!G11))</f>
        <v>0.45201258148899287</v>
      </c>
      <c r="H11" s="4" t="str">
        <f>CLEAN(TRIM(Sheet1!H11))</f>
        <v>7.07734163602193</v>
      </c>
      <c r="I11" s="3">
        <f t="shared" si="0"/>
        <v>0.46161924793221937</v>
      </c>
    </row>
    <row r="12" spans="1:9" x14ac:dyDescent="0.3">
      <c r="A12">
        <v>0.6</v>
      </c>
      <c r="B12" s="4" t="str">
        <f>CLEAN(TRIM(Sheet1!B12))</f>
        <v>8.951777458190918</v>
      </c>
      <c r="C12" s="4" t="str">
        <f>CLEAN(TRIM(Sheet1!C12))</f>
        <v>0.36487949072184567</v>
      </c>
      <c r="D12" s="4" t="str">
        <f>CLEAN(TRIM(Sheet1!D12))</f>
        <v>9.043710470199585</v>
      </c>
      <c r="E12" s="4" t="str">
        <f>CLEAN(TRIM(Sheet1!E12))</f>
        <v>0.3611703416162012</v>
      </c>
      <c r="F12" s="4" t="str">
        <f>CLEAN(TRIM(Sheet1!F12))</f>
        <v>8.79084038734436</v>
      </c>
      <c r="G12" s="4" t="str">
        <f>CLEAN(TRIM(Sheet1!G12))</f>
        <v>0.37155947054872285</v>
      </c>
      <c r="H12" s="4" t="str">
        <f>CLEAN(TRIM(Sheet1!H12))</f>
        <v>8.92877610524495</v>
      </c>
      <c r="I12" s="3">
        <f t="shared" si="0"/>
        <v>0.36586976762892265</v>
      </c>
    </row>
    <row r="13" spans="1:9" x14ac:dyDescent="0.3">
      <c r="A13">
        <v>0.7</v>
      </c>
      <c r="B13" s="4" t="str">
        <f>CLEAN(TRIM(Sheet1!B13))</f>
        <v>11.770042896270752</v>
      </c>
      <c r="C13" s="4" t="str">
        <f>CLEAN(TRIM(Sheet1!C13))</f>
        <v>0.2775113080543579</v>
      </c>
      <c r="D13" s="4" t="str">
        <f>CLEAN(TRIM(Sheet1!D13))</f>
        <v>11.67703628540039</v>
      </c>
      <c r="E13" s="4" t="str">
        <f>CLEAN(TRIM(Sheet1!E13))</f>
        <v>0.2797216622580703</v>
      </c>
      <c r="F13" s="4" t="str">
        <f>CLEAN(TRIM(Sheet1!F13))</f>
        <v>12.25385046005249</v>
      </c>
      <c r="G13" s="4" t="str">
        <f>CLEAN(TRIM(Sheet1!G13))</f>
        <v>0.2665545830388735</v>
      </c>
      <c r="H13" s="4" t="str">
        <f>CLEAN(TRIM(Sheet1!H13))</f>
        <v>11.9003098805745</v>
      </c>
      <c r="I13" s="3">
        <f t="shared" si="0"/>
        <v>0.2745958511171</v>
      </c>
    </row>
    <row r="14" spans="1:9" x14ac:dyDescent="0.3">
      <c r="A14">
        <v>0.8</v>
      </c>
      <c r="B14" s="4" t="str">
        <f>CLEAN(TRIM(Sheet1!B14))</f>
        <v>16.8038227558136</v>
      </c>
      <c r="C14" s="4" t="str">
        <f>CLEAN(TRIM(Sheet1!C14))</f>
        <v>0.19437957942456607</v>
      </c>
      <c r="D14" s="4" t="str">
        <f>CLEAN(TRIM(Sheet1!D14))</f>
        <v>17.60652446746826</v>
      </c>
      <c r="E14" s="4" t="str">
        <f>CLEAN(TRIM(Sheet1!E14))</f>
        <v>0.18551759071105767</v>
      </c>
      <c r="F14" s="4" t="str">
        <f>CLEAN(TRIM(Sheet1!F14))</f>
        <v>17.860919952392578</v>
      </c>
      <c r="G14" s="4" t="str">
        <f>CLEAN(TRIM(Sheet1!G14))</f>
        <v>0.1828752387170548</v>
      </c>
      <c r="H14" s="4" t="str">
        <f>CLEAN(TRIM(Sheet1!H14))</f>
        <v>17.4237557252248</v>
      </c>
      <c r="I14" s="3">
        <f t="shared" si="0"/>
        <v>0.18759080295089234</v>
      </c>
    </row>
    <row r="15" spans="1:9" x14ac:dyDescent="0.3">
      <c r="A15">
        <v>0.9</v>
      </c>
      <c r="B15" s="4" t="str">
        <f>CLEAN(TRIM(Sheet1!B15))</f>
        <v>33.24160146713257</v>
      </c>
      <c r="C15" s="4" t="str">
        <f>CLEAN(TRIM(Sheet1!C15))</f>
        <v>0.09826000721504209</v>
      </c>
      <c r="D15" s="4" t="str">
        <f>CLEAN(TRIM(Sheet1!D15))</f>
        <v>32.076690912246704</v>
      </c>
      <c r="E15" s="4" t="str">
        <f>CLEAN(TRIM(Sheet1!E15))</f>
        <v>0.10182845883123615</v>
      </c>
      <c r="F15" s="4" t="str">
        <f>CLEAN(TRIM(Sheet1!F15))</f>
        <v>35.15573048591614</v>
      </c>
      <c r="G15" s="4" t="str">
        <f>CLEAN(TRIM(Sheet1!G15))</f>
        <v>0.0929100307361991</v>
      </c>
      <c r="H15" s="4" t="str">
        <f>CLEAN(TRIM(Sheet1!H15))</f>
        <v>33.4913409550984</v>
      </c>
      <c r="I15" s="3">
        <f t="shared" si="0"/>
        <v>9.7666165594159041E-2</v>
      </c>
    </row>
    <row r="16" spans="1:9" x14ac:dyDescent="0.3">
      <c r="B16" s="4" t="str">
        <f>CLEAN(TRIM(Sheet1!B16))</f>
        <v/>
      </c>
      <c r="C16" s="4" t="str">
        <f>CLEAN(TRIM(Sheet1!C16))</f>
        <v/>
      </c>
      <c r="D16" s="4" t="str">
        <f>CLEAN(TRIM(Sheet1!D16))</f>
        <v/>
      </c>
      <c r="E16" s="4" t="str">
        <f>CLEAN(TRIM(Sheet1!E16))</f>
        <v/>
      </c>
      <c r="F16" s="4" t="str">
        <f>CLEAN(TRIM(Sheet1!F16))</f>
        <v/>
      </c>
      <c r="G16" s="4" t="str">
        <f>CLEAN(TRIM(Sheet1!G16))</f>
        <v/>
      </c>
      <c r="H16" s="4" t="str">
        <f>CLEAN(TRIM(Sheet1!H16))</f>
        <v/>
      </c>
    </row>
    <row r="17" spans="1:9" ht="18" x14ac:dyDescent="0.35">
      <c r="A17" s="2" t="s">
        <v>99</v>
      </c>
      <c r="B17" s="4" t="str">
        <f>CLEAN(TRIM(Sheet1!B17))</f>
        <v/>
      </c>
      <c r="C17" s="4" t="str">
        <f>CLEAN(TRIM(Sheet1!C17))</f>
        <v/>
      </c>
      <c r="D17" s="4" t="str">
        <f>CLEAN(TRIM(Sheet1!D17))</f>
        <v/>
      </c>
      <c r="E17" s="4" t="str">
        <f>CLEAN(TRIM(Sheet1!E17))</f>
        <v/>
      </c>
      <c r="F17" s="4" t="str">
        <f>CLEAN(TRIM(Sheet1!F17))</f>
        <v/>
      </c>
      <c r="G17" s="4" t="str">
        <f>CLEAN(TRIM(Sheet1!G17))</f>
        <v/>
      </c>
      <c r="H17" s="4" t="str">
        <f>CLEAN(TRIM(Sheet1!H17))</f>
        <v/>
      </c>
    </row>
    <row r="18" spans="1:9" x14ac:dyDescent="0.3">
      <c r="A18" s="1" t="s">
        <v>63</v>
      </c>
      <c r="B18" s="5" t="str">
        <f>CLEAN(TRIM(Sheet1!B18))</f>
        <v>Transfer Time/s</v>
      </c>
      <c r="C18" s="5" t="str">
        <f>CLEAN(TRIM(Sheet1!C18))</f>
        <v>Throughput/Mbps</v>
      </c>
      <c r="D18" s="5" t="str">
        <f>CLEAN(TRIM(Sheet1!D18))</f>
        <v>Transfer Time/s</v>
      </c>
      <c r="E18" s="5" t="str">
        <f>CLEAN(TRIM(Sheet1!E18))</f>
        <v>Throughput/Mbps</v>
      </c>
      <c r="F18" s="5" t="str">
        <f>CLEAN(TRIM(Sheet1!F18))</f>
        <v>Transfer Time/s</v>
      </c>
      <c r="G18" s="5" t="str">
        <f>CLEAN(TRIM(Sheet1!G18))</f>
        <v>Throughput/Mbps</v>
      </c>
      <c r="H18" s="5" t="str">
        <f>CLEAN(TRIM(Sheet1!H18))</f>
        <v>Avg Transfer Time</v>
      </c>
      <c r="I18" s="1" t="s">
        <v>132</v>
      </c>
    </row>
    <row r="19" spans="1:9" x14ac:dyDescent="0.3">
      <c r="A19" t="s">
        <v>64</v>
      </c>
      <c r="B19" s="4" t="str">
        <f>CLEAN(TRIM(Sheet1!B19))</f>
        <v>4.4887542724609375</v>
      </c>
      <c r="C19" s="4" t="str">
        <f>CLEAN(TRIM(Sheet1!C19))</f>
        <v>0.7276673664315458</v>
      </c>
      <c r="D19" s="4" t="str">
        <f>CLEAN(TRIM(Sheet1!D19))</f>
        <v>4.6671741008758545</v>
      </c>
      <c r="E19" s="4" t="str">
        <f>CLEAN(TRIM(Sheet1!E19))</f>
        <v>0.6998496155065297</v>
      </c>
      <c r="F19" s="4" t="str">
        <f>CLEAN(TRIM(Sheet1!F19))</f>
        <v>4.770947456359863</v>
      </c>
      <c r="G19" s="4" t="str">
        <f>CLEAN(TRIM(Sheet1!G19))</f>
        <v>0.684627116495669</v>
      </c>
      <c r="H19" s="4" t="str">
        <f>CLEAN(TRIM(Sheet1!H19))</f>
        <v>4.64229194323221</v>
      </c>
      <c r="I19">
        <f>(C19+E19+G19)/3</f>
        <v>0.70404803281124761</v>
      </c>
    </row>
    <row r="20" spans="1:9" x14ac:dyDescent="0.3">
      <c r="A20" t="s">
        <v>71</v>
      </c>
      <c r="B20" s="4" t="str">
        <f>CLEAN(TRIM(Sheet1!B20))</f>
        <v>2.860412359237671</v>
      </c>
      <c r="C20" s="4" t="str">
        <f>CLEAN(TRIM(Sheet1!C20))</f>
        <v>1.1419052883936314</v>
      </c>
      <c r="D20" s="4" t="str">
        <f>CLEAN(TRIM(Sheet1!D20))</f>
        <v>2.9230082035064697</v>
      </c>
      <c r="E20" s="4" t="str">
        <f>CLEAN(TRIM(Sheet1!E20))</f>
        <v>1.1174515336911097</v>
      </c>
      <c r="F20" s="4" t="str">
        <f>CLEAN(TRIM(Sheet1!F20))</f>
        <v>2.8846275806427</v>
      </c>
      <c r="G20" s="4" t="str">
        <f>CLEAN(TRIM(Sheet1!G20))</f>
        <v>1.1323194792695763</v>
      </c>
      <c r="H20" s="4" t="str">
        <f>CLEAN(TRIM(Sheet1!H20))</f>
        <v>2.88934938112894</v>
      </c>
      <c r="I20">
        <f>(C20+E20+G20)</f>
        <v>3.3916763013543001</v>
      </c>
    </row>
    <row r="21" spans="1:9" x14ac:dyDescent="0.3">
      <c r="A21" t="s">
        <v>78</v>
      </c>
      <c r="B21" s="4" t="str">
        <f>CLEAN(TRIM(Sheet1!B21))</f>
        <v>2.6550400257110596</v>
      </c>
      <c r="C21" s="4" t="str">
        <f>CLEAN(TRIM(Sheet1!C21))</f>
        <v>1.2302338075393913</v>
      </c>
      <c r="D21" s="4" t="str">
        <f>CLEAN(TRIM(Sheet1!D21))</f>
        <v>2.6731953620910645</v>
      </c>
      <c r="E21" s="4" t="str">
        <f>CLEAN(TRIM(Sheet1!E21))</f>
        <v>1.2218785227298066</v>
      </c>
      <c r="F21" s="4" t="str">
        <f>CLEAN(TRIM(Sheet1!F21))</f>
        <v>2.679067850112915</v>
      </c>
      <c r="G21" s="4" t="str">
        <f>CLEAN(TRIM(Sheet1!G21))</f>
        <v>1.2192001781001305</v>
      </c>
      <c r="H21" s="4" t="str">
        <f>CLEAN(TRIM(Sheet1!H21))</f>
        <v>2.66910107930501</v>
      </c>
      <c r="I21">
        <f t="shared" ref="I21:I23" si="1">(C21+E21+G21)</f>
        <v>3.6713125083693199</v>
      </c>
    </row>
    <row r="22" spans="1:9" x14ac:dyDescent="0.3">
      <c r="A22" t="s">
        <v>85</v>
      </c>
      <c r="B22" s="4" t="str">
        <f>CLEAN(TRIM(Sheet1!B22))</f>
        <v>2.578444719314575</v>
      </c>
      <c r="C22" s="4" t="str">
        <f>CLEAN(TRIM(Sheet1!C22))</f>
        <v>1.2667791461778097</v>
      </c>
      <c r="D22" s="4" t="str">
        <f>CLEAN(TRIM(Sheet1!D22))</f>
        <v>2.555988073348999</v>
      </c>
      <c r="E22" s="4" t="str">
        <f>CLEAN(TRIM(Sheet1!E22))</f>
        <v>1.2779089362965157</v>
      </c>
      <c r="F22" s="4" t="str">
        <f>CLEAN(TRIM(Sheet1!F22))</f>
        <v>2.5571186542510986</v>
      </c>
      <c r="G22" s="4" t="str">
        <f>CLEAN(TRIM(Sheet1!G22))</f>
        <v>1.27734393340328</v>
      </c>
      <c r="H22" s="4" t="str">
        <f>CLEAN(TRIM(Sheet1!H22))</f>
        <v>2.56385048230488</v>
      </c>
      <c r="I22">
        <f t="shared" si="1"/>
        <v>3.82203201587759</v>
      </c>
    </row>
    <row r="23" spans="1:9" x14ac:dyDescent="0.3">
      <c r="A23" t="s">
        <v>92</v>
      </c>
      <c r="B23" s="4" t="str">
        <f>CLEAN(TRIM(Sheet1!B23))</f>
        <v>2.5546047687530518</v>
      </c>
      <c r="C23" s="4" t="str">
        <f>CLEAN(TRIM(Sheet1!C23))</f>
        <v>1.278600917039057</v>
      </c>
      <c r="D23" s="4" t="str">
        <f>CLEAN(TRIM(Sheet1!D23))</f>
        <v>2.540266752243042</v>
      </c>
      <c r="E23" s="4" t="str">
        <f>CLEAN(TRIM(Sheet1!E23))</f>
        <v>1.2858177185981972</v>
      </c>
      <c r="F23" s="4" t="str">
        <f>CLEAN(TRIM(Sheet1!F23))</f>
        <v>2.5321764945983887</v>
      </c>
      <c r="G23" s="4" t="str">
        <f>CLEAN(TRIM(Sheet1!G23))</f>
        <v>1.2899258827209232</v>
      </c>
      <c r="H23" s="4" t="str">
        <f>CLEAN(TRIM(Sheet1!H23))</f>
        <v>2.54234933853149</v>
      </c>
      <c r="I23">
        <f t="shared" si="1"/>
        <v>3.8543445183581602</v>
      </c>
    </row>
    <row r="24" spans="1:9" x14ac:dyDescent="0.3">
      <c r="B24" s="4" t="str">
        <f>CLEAN(TRIM(Sheet1!B24))</f>
        <v/>
      </c>
      <c r="C24" s="4" t="str">
        <f>CLEAN(TRIM(Sheet1!C24))</f>
        <v/>
      </c>
      <c r="D24" s="4" t="str">
        <f>CLEAN(TRIM(Sheet1!D24))</f>
        <v/>
      </c>
      <c r="E24" s="4" t="str">
        <f>CLEAN(TRIM(Sheet1!E24))</f>
        <v/>
      </c>
      <c r="F24" s="4" t="str">
        <f>CLEAN(TRIM(Sheet1!F24))</f>
        <v/>
      </c>
      <c r="G24" s="4" t="str">
        <f>CLEAN(TRIM(Sheet1!G24))</f>
        <v/>
      </c>
      <c r="H24" s="4" t="str">
        <f>CLEAN(TRIM(Sheet1!H24))</f>
        <v/>
      </c>
    </row>
    <row r="25" spans="1:9" ht="18" x14ac:dyDescent="0.35">
      <c r="A25" s="2" t="s">
        <v>100</v>
      </c>
      <c r="B25" s="4" t="str">
        <f>CLEAN(TRIM(Sheet1!B25))</f>
        <v/>
      </c>
      <c r="C25" s="4" t="str">
        <f>CLEAN(TRIM(Sheet1!C25))</f>
        <v/>
      </c>
      <c r="D25" s="4" t="str">
        <f>CLEAN(TRIM(Sheet1!D25))</f>
        <v/>
      </c>
      <c r="E25" s="4" t="str">
        <f>CLEAN(TRIM(Sheet1!E25))</f>
        <v/>
      </c>
      <c r="F25" s="4" t="str">
        <f>CLEAN(TRIM(Sheet1!F25))</f>
        <v/>
      </c>
      <c r="G25" s="4" t="str">
        <f>CLEAN(TRIM(Sheet1!G25))</f>
        <v/>
      </c>
      <c r="H25" s="4" t="str">
        <f>CLEAN(TRIM(Sheet1!H25))</f>
        <v/>
      </c>
    </row>
    <row r="26" spans="1:9" x14ac:dyDescent="0.3">
      <c r="A26" s="1" t="s">
        <v>63</v>
      </c>
      <c r="B26" s="5" t="str">
        <f>CLEAN(TRIM(Sheet1!B26))</f>
        <v>Transfer Time/s</v>
      </c>
      <c r="C26" s="5" t="str">
        <f>CLEAN(TRIM(Sheet1!C26))</f>
        <v>Throughput/Mbps</v>
      </c>
      <c r="D26" s="5" t="str">
        <f>CLEAN(TRIM(Sheet1!D26))</f>
        <v>Transfer Time/s</v>
      </c>
      <c r="E26" s="5" t="str">
        <f>CLEAN(TRIM(Sheet1!E26))</f>
        <v>Throughput/Mbps</v>
      </c>
      <c r="F26" s="5" t="str">
        <f>CLEAN(TRIM(Sheet1!F26))</f>
        <v>Transfer Time/s</v>
      </c>
      <c r="G26" s="5" t="str">
        <f>CLEAN(TRIM(Sheet1!G26))</f>
        <v>Throughput/Mbps</v>
      </c>
      <c r="H26" s="5" t="str">
        <f>CLEAN(TRIM(Sheet1!H26))</f>
        <v>Avg Transfer Time</v>
      </c>
      <c r="I26" s="1" t="s">
        <v>132</v>
      </c>
    </row>
    <row r="27" spans="1:9" x14ac:dyDescent="0.3">
      <c r="A27" t="s">
        <v>64</v>
      </c>
      <c r="B27" s="4" t="str">
        <f>CLEAN(TRIM(Sheet1!B27))</f>
        <v>7.874929666519165</v>
      </c>
      <c r="C27" s="4" t="str">
        <f>CLEAN(TRIM(Sheet1!C27))</f>
        <v>0.4147744980995826</v>
      </c>
      <c r="D27" s="4" t="str">
        <f>CLEAN(TRIM(Sheet1!D27))</f>
        <v>8.98759412765503</v>
      </c>
      <c r="E27" s="4" t="str">
        <f>CLEAN(TRIM(Sheet1!E27))</f>
        <v>0.3634254010146564</v>
      </c>
      <c r="F27" s="4" t="str">
        <f>CLEAN(TRIM(Sheet1!F27))</f>
        <v>9.320280313491821</v>
      </c>
      <c r="G27" s="4" t="str">
        <f>CLEAN(TRIM(Sheet1!G27))</f>
        <v>0.35045297889503935</v>
      </c>
      <c r="H27" s="4" t="str">
        <f>CLEAN(TRIM(Sheet1!H27))</f>
        <v>8.727601369222</v>
      </c>
      <c r="I27">
        <f>(C27+E27+G27)/3</f>
        <v>0.37621762600309233</v>
      </c>
    </row>
    <row r="28" spans="1:9" x14ac:dyDescent="0.3">
      <c r="A28" t="s">
        <v>71</v>
      </c>
      <c r="B28" s="4" t="str">
        <f>CLEAN(TRIM(Sheet1!B28))</f>
        <v>6.252340316772461</v>
      </c>
      <c r="C28" s="4" t="str">
        <f>CLEAN(TRIM(Sheet1!C28))</f>
        <v>0.5224155811285264</v>
      </c>
      <c r="D28" s="4" t="str">
        <f>CLEAN(TRIM(Sheet1!D28))</f>
        <v>6.035925626754761</v>
      </c>
      <c r="E28" s="4" t="str">
        <f>CLEAN(TRIM(Sheet1!E28))</f>
        <v>0.5411464954971869</v>
      </c>
      <c r="F28" s="4" t="str">
        <f>CLEAN(TRIM(Sheet1!F28))</f>
        <v>6.098536252975464</v>
      </c>
      <c r="G28" s="4" t="str">
        <f>CLEAN(TRIM(Sheet1!G28))</f>
        <v>0.5355908146657927</v>
      </c>
      <c r="H28" s="4" t="str">
        <f>CLEAN(TRIM(Sheet1!H28))</f>
        <v>6.12893406550089</v>
      </c>
      <c r="I28">
        <f t="shared" ref="I28:I31" si="2">(C28+E28+G28)/3</f>
        <v>0.53305096376383465</v>
      </c>
    </row>
    <row r="29" spans="1:9" x14ac:dyDescent="0.3">
      <c r="A29" t="s">
        <v>78</v>
      </c>
      <c r="B29" s="4" t="str">
        <f>CLEAN(TRIM(Sheet1!B29))</f>
        <v>5.609591722488403</v>
      </c>
      <c r="C29" s="4" t="str">
        <f>CLEAN(TRIM(Sheet1!C29))</f>
        <v>0.5822741050664321</v>
      </c>
      <c r="D29" s="4" t="str">
        <f>CLEAN(TRIM(Sheet1!D29))</f>
        <v>5.699478626251221</v>
      </c>
      <c r="E29" s="4" t="str">
        <f>CLEAN(TRIM(Sheet1!E29))</f>
        <v>0.5730910165985467</v>
      </c>
      <c r="F29" s="4" t="str">
        <f>CLEAN(TRIM(Sheet1!F29))</f>
        <v>5.1053361892700195</v>
      </c>
      <c r="G29" s="4" t="str">
        <f>CLEAN(TRIM(Sheet1!G29))</f>
        <v>0.6397854869704538</v>
      </c>
      <c r="H29" s="4" t="str">
        <f>CLEAN(TRIM(Sheet1!H29))</f>
        <v>5.47146884600321</v>
      </c>
      <c r="I29">
        <f t="shared" si="2"/>
        <v>0.59838353621181029</v>
      </c>
    </row>
    <row r="30" spans="1:9" x14ac:dyDescent="0.3">
      <c r="A30" t="s">
        <v>85</v>
      </c>
      <c r="B30" s="4" t="str">
        <f>CLEAN(TRIM(Sheet1!B30))</f>
        <v>6.168713808059692</v>
      </c>
      <c r="C30" s="4" t="str">
        <f>CLEAN(TRIM(Sheet1!C30))</f>
        <v>0.529497736745772</v>
      </c>
      <c r="D30" s="4" t="str">
        <f>CLEAN(TRIM(Sheet1!D30))</f>
        <v>5.5369932651519775</v>
      </c>
      <c r="E30" s="4" t="str">
        <f>CLEAN(TRIM(Sheet1!E30))</f>
        <v>0.5899086098870931</v>
      </c>
      <c r="F30" s="4" t="str">
        <f>CLEAN(TRIM(Sheet1!F30))</f>
        <v>5.208243131637573</v>
      </c>
      <c r="G30" s="4" t="str">
        <f>CLEAN(TRIM(Sheet1!G30))</f>
        <v>0.6271443013400577</v>
      </c>
      <c r="H30" s="4" t="str">
        <f>CLEAN(TRIM(Sheet1!H30))</f>
        <v>5.63798340161641</v>
      </c>
      <c r="I30">
        <f t="shared" si="2"/>
        <v>0.58218354932430738</v>
      </c>
    </row>
    <row r="31" spans="1:9" x14ac:dyDescent="0.3">
      <c r="A31" t="s">
        <v>92</v>
      </c>
      <c r="B31" s="4" t="str">
        <f>CLEAN(TRIM(Sheet1!B31))</f>
        <v>5.426621437072754</v>
      </c>
      <c r="C31" s="4" t="str">
        <f>CLEAN(TRIM(Sheet1!C31))</f>
        <v>0.6019067366088335</v>
      </c>
      <c r="D31" s="4" t="str">
        <f>CLEAN(TRIM(Sheet1!D31))</f>
        <v>5.90428352355957</v>
      </c>
      <c r="E31" s="4" t="str">
        <f>CLEAN(TRIM(Sheet1!E31))</f>
        <v>0.5532119158855711</v>
      </c>
      <c r="F31" s="4" t="str">
        <f>CLEAN(TRIM(Sheet1!F31))</f>
        <v>5.645373106002808</v>
      </c>
      <c r="G31" s="4" t="str">
        <f>CLEAN(TRIM(Sheet1!G31))</f>
        <v>0.5785835477422873</v>
      </c>
      <c r="H31" s="4" t="str">
        <f>CLEAN(TRIM(Sheet1!H31))</f>
        <v>5.65875935554504</v>
      </c>
      <c r="I31">
        <f t="shared" si="2"/>
        <v>0.57790073341223025</v>
      </c>
    </row>
    <row r="33" spans="1:1" ht="18" x14ac:dyDescent="0.35">
      <c r="A33" s="2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suther david</dc:creator>
  <cp:lastModifiedBy>samuel suther david</cp:lastModifiedBy>
  <dcterms:created xsi:type="dcterms:W3CDTF">2020-10-19T08:50:04Z</dcterms:created>
  <dcterms:modified xsi:type="dcterms:W3CDTF">2020-11-07T17:29:10Z</dcterms:modified>
</cp:coreProperties>
</file>